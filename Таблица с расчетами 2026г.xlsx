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ipografia CRM\"/>
    </mc:Choice>
  </mc:AlternateContent>
  <xr:revisionPtr revIDLastSave="0" documentId="13_ncr:1_{CCF8595F-E34E-4DD2-8946-737A7299614A}" xr6:coauthVersionLast="44" xr6:coauthVersionMax="44" xr10:uidLastSave="{00000000-0000-0000-0000-000000000000}"/>
  <bookViews>
    <workbookView xWindow="-4665" yWindow="-15075" windowWidth="15750" windowHeight="13350" activeTab="4" xr2:uid="{2B3C7C4C-D27E-4C80-B17E-0CF338428CC3}"/>
  </bookViews>
  <sheets>
    <sheet name="СЧЕТА" sheetId="1" r:id="rId1"/>
    <sheet name="НАЛИЧКА" sheetId="6" r:id="rId2"/>
    <sheet name="Долги" sheetId="2" r:id="rId3"/>
    <sheet name="КредитСальдо" sheetId="4" r:id="rId4"/>
    <sheet name="КП" sheetId="3" r:id="rId5"/>
    <sheet name="Для расчета" sheetId="5" r:id="rId6"/>
  </sheets>
  <definedNames>
    <definedName name="__DdeLink__197_1217207183" localSheetId="5">'Для расчета'!$AE$73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286" i="3" l="1"/>
  <c r="E262" i="3"/>
  <c r="E257" i="3"/>
  <c r="F249" i="3"/>
  <c r="F242" i="3"/>
  <c r="F243" i="3"/>
  <c r="F244" i="3"/>
  <c r="F245" i="3"/>
  <c r="F246" i="3"/>
  <c r="F247" i="3"/>
  <c r="F248" i="3"/>
  <c r="F241" i="3"/>
  <c r="D33" i="6" l="1"/>
  <c r="D34" i="6"/>
  <c r="D35" i="6"/>
  <c r="F35" i="6" s="1"/>
  <c r="D36" i="6"/>
  <c r="D42" i="6" s="1"/>
  <c r="F42" i="6" s="1"/>
  <c r="F38" i="6" s="1"/>
  <c r="D37" i="6"/>
  <c r="D38" i="6"/>
  <c r="D39" i="6"/>
  <c r="D40" i="6"/>
  <c r="D41" i="6"/>
  <c r="D45" i="6"/>
  <c r="D46" i="6"/>
  <c r="D47" i="6" s="1"/>
  <c r="D592" i="1"/>
  <c r="D591" i="1"/>
  <c r="D572" i="1"/>
  <c r="D568" i="1"/>
  <c r="D569" i="1"/>
  <c r="D570" i="1"/>
  <c r="D571" i="1"/>
  <c r="D567" i="1"/>
  <c r="D573" i="1" l="1"/>
  <c r="D593" i="1"/>
  <c r="D530" i="1"/>
  <c r="D531" i="1"/>
  <c r="D535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75" i="1"/>
  <c r="D576" i="1"/>
  <c r="D577" i="1"/>
  <c r="D578" i="1"/>
  <c r="D579" i="1"/>
  <c r="D498" i="1"/>
  <c r="D499" i="1"/>
  <c r="D500" i="1"/>
  <c r="D501" i="1"/>
  <c r="D502" i="1"/>
  <c r="D536" i="1"/>
  <c r="D537" i="1"/>
  <c r="D539" i="1"/>
  <c r="D540" i="1"/>
  <c r="D541" i="1"/>
  <c r="D543" i="1"/>
  <c r="D544" i="1"/>
  <c r="D545" i="1"/>
  <c r="D1048554" i="1" l="1"/>
  <c r="J236" i="3"/>
  <c r="J235" i="3"/>
  <c r="J234" i="3"/>
  <c r="J233" i="3"/>
  <c r="J232" i="3"/>
  <c r="J231" i="3"/>
  <c r="J230" i="3"/>
  <c r="J229" i="3"/>
  <c r="F230" i="3"/>
  <c r="F231" i="3"/>
  <c r="F232" i="3"/>
  <c r="F233" i="3"/>
  <c r="F234" i="3"/>
  <c r="F235" i="3"/>
  <c r="F236" i="3"/>
  <c r="F229" i="3"/>
  <c r="D519" i="1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42" i="5"/>
  <c r="AE74" i="5" s="1"/>
  <c r="D518" i="1"/>
  <c r="D517" i="1"/>
  <c r="D516" i="1"/>
  <c r="D515" i="1"/>
  <c r="D514" i="1"/>
  <c r="D513" i="1"/>
  <c r="D512" i="1"/>
  <c r="D511" i="1"/>
  <c r="D510" i="1"/>
  <c r="D509" i="1"/>
  <c r="J237" i="3" l="1"/>
  <c r="F237" i="3"/>
  <c r="D478" i="1"/>
  <c r="D479" i="1"/>
  <c r="D480" i="1"/>
  <c r="D481" i="1"/>
  <c r="D482" i="1"/>
  <c r="D489" i="1"/>
  <c r="D493" i="1"/>
  <c r="D494" i="1" s="1"/>
  <c r="D490" i="1"/>
  <c r="D469" i="1" l="1"/>
  <c r="D470" i="1"/>
  <c r="D471" i="1"/>
  <c r="D472" i="1"/>
  <c r="D473" i="1"/>
  <c r="D474" i="1"/>
  <c r="D475" i="1"/>
  <c r="D476" i="1"/>
  <c r="D477" i="1"/>
  <c r="D468" i="1"/>
  <c r="D432" i="1"/>
  <c r="D433" i="1"/>
  <c r="D434" i="1"/>
  <c r="D435" i="1"/>
  <c r="D431" i="1"/>
  <c r="AL85" i="5"/>
  <c r="AL86" i="5"/>
  <c r="AL87" i="5"/>
  <c r="AL88" i="5"/>
  <c r="AL89" i="5"/>
  <c r="AL90" i="5"/>
  <c r="AL91" i="5"/>
  <c r="AL84" i="5"/>
  <c r="D420" i="1"/>
  <c r="D421" i="1"/>
  <c r="D422" i="1"/>
  <c r="D419" i="1"/>
  <c r="C425" i="1"/>
  <c r="B425" i="1"/>
  <c r="D484" i="1" l="1"/>
  <c r="D436" i="1"/>
  <c r="D425" i="1"/>
  <c r="AL92" i="5"/>
  <c r="D415" i="1"/>
  <c r="D414" i="1"/>
  <c r="D410" i="1"/>
  <c r="D411" i="1"/>
  <c r="D409" i="1"/>
  <c r="E401" i="1" l="1"/>
  <c r="D379" i="1"/>
  <c r="D378" i="1"/>
  <c r="D377" i="1"/>
  <c r="D383" i="1"/>
  <c r="D382" i="1"/>
  <c r="D27" i="6"/>
  <c r="D28" i="6"/>
  <c r="D26" i="6"/>
  <c r="E29" i="6" s="1"/>
  <c r="E384" i="1" l="1"/>
  <c r="D13" i="6"/>
  <c r="D14" i="6"/>
  <c r="D15" i="6"/>
  <c r="D16" i="6"/>
  <c r="D18" i="6"/>
  <c r="D19" i="6"/>
  <c r="D20" i="6"/>
  <c r="D21" i="6"/>
  <c r="D22" i="6"/>
  <c r="D12" i="6"/>
  <c r="F30" i="3" l="1"/>
  <c r="F28" i="3"/>
  <c r="F26" i="3"/>
  <c r="F205" i="3"/>
  <c r="F208" i="3"/>
  <c r="F209" i="3"/>
  <c r="F207" i="3"/>
  <c r="F206" i="3"/>
  <c r="D360" i="1"/>
  <c r="D359" i="1"/>
  <c r="D358" i="1"/>
  <c r="D357" i="1"/>
  <c r="D356" i="1"/>
  <c r="D350" i="1"/>
  <c r="D351" i="1"/>
  <c r="D352" i="1"/>
  <c r="D353" i="1"/>
  <c r="D349" i="1"/>
  <c r="D336" i="1"/>
  <c r="D333" i="1"/>
  <c r="D334" i="1"/>
  <c r="D335" i="1"/>
  <c r="D332" i="1"/>
  <c r="D343" i="1"/>
  <c r="D342" i="1"/>
  <c r="D341" i="1"/>
  <c r="D340" i="1"/>
  <c r="D339" i="1"/>
  <c r="D305" i="1"/>
  <c r="D306" i="1"/>
  <c r="E5" i="6"/>
  <c r="G210" i="3" l="1"/>
  <c r="E336" i="1"/>
  <c r="E353" i="1"/>
  <c r="E360" i="1"/>
  <c r="E343" i="1"/>
  <c r="AD78" i="5" l="1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77" i="5"/>
  <c r="AD109" i="5" s="1"/>
  <c r="X109" i="5"/>
  <c r="X108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77" i="5"/>
  <c r="R108" i="5"/>
  <c r="R107" i="5"/>
  <c r="R109" i="5" s="1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F200" i="3" l="1"/>
  <c r="F199" i="3"/>
  <c r="F198" i="3"/>
  <c r="F197" i="3"/>
  <c r="F196" i="3"/>
  <c r="F195" i="3"/>
  <c r="F194" i="3"/>
  <c r="F191" i="3"/>
  <c r="F190" i="3"/>
  <c r="F189" i="3"/>
  <c r="F188" i="3"/>
  <c r="F187" i="3"/>
  <c r="F186" i="3"/>
  <c r="F185" i="3"/>
  <c r="F180" i="3"/>
  <c r="F181" i="3"/>
  <c r="F182" i="3"/>
  <c r="F179" i="3"/>
  <c r="F178" i="3"/>
  <c r="F177" i="3"/>
  <c r="F176" i="3"/>
  <c r="D321" i="1"/>
  <c r="D322" i="1"/>
  <c r="D323" i="1"/>
  <c r="D320" i="1"/>
  <c r="D316" i="1"/>
  <c r="D317" i="1"/>
  <c r="D315" i="1"/>
  <c r="X73" i="5"/>
  <c r="X72" i="5"/>
  <c r="X71" i="5"/>
  <c r="X70" i="5"/>
  <c r="X69" i="5"/>
  <c r="X68" i="5"/>
  <c r="X67" i="5"/>
  <c r="X66" i="5"/>
  <c r="X65" i="5"/>
  <c r="X64" i="5"/>
  <c r="X63" i="5"/>
  <c r="X62" i="5"/>
  <c r="X61" i="5"/>
  <c r="X60" i="5"/>
  <c r="X59" i="5"/>
  <c r="X58" i="5"/>
  <c r="X57" i="5"/>
  <c r="X56" i="5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L109" i="5"/>
  <c r="D311" i="1"/>
  <c r="D310" i="1"/>
  <c r="D309" i="1"/>
  <c r="D304" i="1"/>
  <c r="D303" i="1"/>
  <c r="F5" i="4"/>
  <c r="E5" i="4"/>
  <c r="D289" i="1"/>
  <c r="D288" i="1"/>
  <c r="D279" i="1"/>
  <c r="D280" i="1"/>
  <c r="D281" i="1"/>
  <c r="D282" i="1"/>
  <c r="D283" i="1"/>
  <c r="D284" i="1"/>
  <c r="D285" i="1"/>
  <c r="D278" i="1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42" i="5"/>
  <c r="D275" i="1"/>
  <c r="D272" i="1"/>
  <c r="D273" i="1"/>
  <c r="D274" i="1"/>
  <c r="D271" i="1"/>
  <c r="N40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42" i="5"/>
  <c r="D228" i="1"/>
  <c r="D227" i="1"/>
  <c r="D210" i="1"/>
  <c r="D238" i="1"/>
  <c r="D233" i="1"/>
  <c r="D234" i="1"/>
  <c r="D215" i="1"/>
  <c r="D216" i="1"/>
  <c r="D217" i="1"/>
  <c r="D218" i="1"/>
  <c r="D219" i="1"/>
  <c r="D220" i="1"/>
  <c r="D221" i="1"/>
  <c r="D222" i="1"/>
  <c r="D223" i="1"/>
  <c r="D214" i="1"/>
  <c r="D246" i="1"/>
  <c r="D200" i="1"/>
  <c r="E305" i="1" l="1"/>
  <c r="G184" i="3"/>
  <c r="E317" i="1"/>
  <c r="D324" i="1"/>
  <c r="E312" i="1"/>
  <c r="G202" i="3"/>
  <c r="G193" i="3"/>
  <c r="G192" i="3" s="1"/>
  <c r="X74" i="5"/>
  <c r="E275" i="1"/>
  <c r="E290" i="1"/>
  <c r="R74" i="5"/>
  <c r="E285" i="1"/>
  <c r="L74" i="5"/>
  <c r="E229" i="1"/>
  <c r="E221" i="1"/>
  <c r="E223" i="1"/>
  <c r="G201" i="3" l="1"/>
  <c r="G183" i="3"/>
  <c r="D171" i="1" l="1"/>
  <c r="D199" i="1"/>
  <c r="D197" i="1"/>
  <c r="D198" i="1"/>
  <c r="D196" i="1"/>
  <c r="D191" i="1"/>
  <c r="D192" i="1"/>
  <c r="D190" i="1"/>
  <c r="D235" i="1"/>
  <c r="D236" i="1"/>
  <c r="D237" i="1"/>
  <c r="D232" i="1"/>
  <c r="E239" i="1" l="1"/>
  <c r="D201" i="1"/>
  <c r="D193" i="1" l="1"/>
  <c r="D183" i="1"/>
  <c r="D255" i="1"/>
  <c r="E260" i="1" s="1"/>
  <c r="D263" i="1"/>
  <c r="D262" i="1"/>
  <c r="E263" i="1" l="1"/>
  <c r="D177" i="1" l="1"/>
  <c r="D178" i="1"/>
  <c r="D179" i="1"/>
  <c r="D176" i="1"/>
  <c r="D163" i="1"/>
  <c r="D164" i="1"/>
  <c r="D162" i="1"/>
  <c r="D169" i="1"/>
  <c r="D170" i="1"/>
  <c r="D168" i="1"/>
  <c r="D167" i="1"/>
  <c r="D152" i="1"/>
  <c r="D153" i="1"/>
  <c r="D130" i="1"/>
  <c r="D129" i="1"/>
  <c r="D146" i="1"/>
  <c r="D147" i="1"/>
  <c r="D148" i="1"/>
  <c r="D149" i="1"/>
  <c r="D150" i="1"/>
  <c r="D151" i="1"/>
  <c r="D145" i="1"/>
  <c r="D137" i="1"/>
  <c r="D138" i="1"/>
  <c r="D139" i="1"/>
  <c r="D140" i="1"/>
  <c r="D141" i="1"/>
  <c r="D136" i="1"/>
  <c r="F166" i="3"/>
  <c r="F167" i="3"/>
  <c r="F168" i="3"/>
  <c r="F169" i="3"/>
  <c r="F170" i="3"/>
  <c r="F171" i="3"/>
  <c r="F165" i="3"/>
  <c r="D125" i="1"/>
  <c r="D124" i="1"/>
  <c r="F160" i="3"/>
  <c r="F161" i="3"/>
  <c r="F159" i="3"/>
  <c r="F62" i="3"/>
  <c r="F63" i="3"/>
  <c r="F64" i="3"/>
  <c r="E170" i="1" l="1"/>
  <c r="D126" i="1"/>
  <c r="D165" i="1"/>
  <c r="D180" i="1"/>
  <c r="D132" i="1"/>
  <c r="D154" i="1"/>
  <c r="D142" i="1"/>
  <c r="F172" i="3"/>
  <c r="F162" i="3"/>
  <c r="G65" i="3"/>
  <c r="F15" i="2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99" i="3"/>
  <c r="F82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70" i="3"/>
  <c r="F71" i="3"/>
  <c r="F72" i="3"/>
  <c r="F73" i="3"/>
  <c r="F74" i="3"/>
  <c r="F75" i="3"/>
  <c r="F76" i="3"/>
  <c r="F77" i="3"/>
  <c r="F78" i="3"/>
  <c r="F79" i="3"/>
  <c r="F80" i="3"/>
  <c r="F81" i="3"/>
  <c r="F69" i="3"/>
  <c r="F100" i="3" l="1"/>
  <c r="F117" i="3"/>
  <c r="F83" i="3"/>
  <c r="I85" i="3" l="1"/>
  <c r="I102" i="3"/>
  <c r="D46" i="1" l="1"/>
  <c r="D45" i="1"/>
  <c r="D44" i="1"/>
  <c r="D85" i="1" l="1"/>
  <c r="D86" i="1"/>
  <c r="D87" i="1"/>
  <c r="D88" i="1"/>
  <c r="D89" i="1"/>
  <c r="D90" i="1"/>
  <c r="D84" i="1"/>
  <c r="D95" i="1"/>
  <c r="D96" i="1"/>
  <c r="D97" i="1"/>
  <c r="D98" i="1"/>
  <c r="D94" i="1"/>
  <c r="E91" i="1" l="1"/>
  <c r="E99" i="1"/>
  <c r="D75" i="1" l="1"/>
  <c r="D81" i="1"/>
  <c r="D80" i="1"/>
  <c r="D79" i="1"/>
  <c r="F12" i="2" l="1"/>
  <c r="F35" i="3" l="1"/>
  <c r="F36" i="3"/>
  <c r="F37" i="3"/>
  <c r="F38" i="3"/>
  <c r="F39" i="3"/>
  <c r="F42" i="3"/>
  <c r="F43" i="3"/>
  <c r="F44" i="3"/>
  <c r="F45" i="3"/>
  <c r="F46" i="3"/>
  <c r="F49" i="3"/>
  <c r="F50" i="3"/>
  <c r="F51" i="3"/>
  <c r="F52" i="3"/>
  <c r="F53" i="3"/>
  <c r="D71" i="1"/>
  <c r="D70" i="1"/>
  <c r="D62" i="1"/>
  <c r="F22" i="3"/>
  <c r="F21" i="3"/>
  <c r="F20" i="3"/>
  <c r="F19" i="3"/>
  <c r="F18" i="3"/>
  <c r="F15" i="3"/>
  <c r="F14" i="3"/>
  <c r="F13" i="3"/>
  <c r="F12" i="3"/>
  <c r="F11" i="3"/>
  <c r="F8" i="3"/>
  <c r="F7" i="3"/>
  <c r="F6" i="3"/>
  <c r="F5" i="3"/>
  <c r="F4" i="3"/>
  <c r="F10" i="2"/>
  <c r="F9" i="2"/>
  <c r="F8" i="2"/>
  <c r="F7" i="2"/>
  <c r="F6" i="2"/>
  <c r="F13" i="2" l="1"/>
  <c r="G54" i="3"/>
  <c r="G16" i="3"/>
  <c r="G23" i="3"/>
  <c r="G47" i="3"/>
  <c r="G40" i="3"/>
  <c r="H40" i="3" s="1"/>
  <c r="G9" i="3"/>
  <c r="G13" i="3" s="1"/>
  <c r="E72" i="1"/>
  <c r="D59" i="1"/>
  <c r="D60" i="1"/>
  <c r="D61" i="1"/>
  <c r="D58" i="1"/>
  <c r="G20" i="3" l="1"/>
  <c r="H51" i="3"/>
  <c r="H44" i="3"/>
  <c r="D54" i="1"/>
  <c r="D53" i="1"/>
  <c r="D52" i="1"/>
  <c r="D51" i="1"/>
  <c r="D50" i="1"/>
  <c r="D49" i="1"/>
  <c r="D48" i="1"/>
  <c r="D39" i="1"/>
  <c r="D40" i="1"/>
  <c r="D41" i="1"/>
  <c r="D38" i="1"/>
  <c r="E55" i="1" l="1"/>
  <c r="E42" i="1"/>
  <c r="D25" i="1"/>
  <c r="D26" i="1"/>
  <c r="D27" i="1"/>
  <c r="D28" i="1"/>
  <c r="D29" i="1"/>
  <c r="D30" i="1"/>
  <c r="D31" i="1"/>
  <c r="D32" i="1"/>
  <c r="D33" i="1"/>
  <c r="D24" i="1"/>
  <c r="D34" i="1" l="1"/>
</calcChain>
</file>

<file path=xl/sharedStrings.xml><?xml version="1.0" encoding="utf-8"?>
<sst xmlns="http://schemas.openxmlformats.org/spreadsheetml/2006/main" count="1113" uniqueCount="661">
  <si>
    <t>Наименование</t>
  </si>
  <si>
    <t>Кол-во</t>
  </si>
  <si>
    <t>Цена</t>
  </si>
  <si>
    <t>Сумма</t>
  </si>
  <si>
    <t>№</t>
  </si>
  <si>
    <t>Печать наклейки 1,6х0,75м</t>
  </si>
  <si>
    <t>Печать наклейки 3,4х0,65м</t>
  </si>
  <si>
    <t>Изготовление жилета со светоотражающей пленкой</t>
  </si>
  <si>
    <t>Изготовление Баннера 12х1,1м, проклейка края, люверсы каждые</t>
  </si>
  <si>
    <t xml:space="preserve">2000 за наклейки </t>
  </si>
  <si>
    <t xml:space="preserve">Печать наклеек 9х9см </t>
  </si>
  <si>
    <t>Печать на самоклейке 1076х756мм</t>
  </si>
  <si>
    <t>Печать наклейки 4006х356мм</t>
  </si>
  <si>
    <t>Печать наклейки 4144х674мм</t>
  </si>
  <si>
    <t>Печать наклейки с резкой по контуру на монтажной пленке 706х893мм</t>
  </si>
  <si>
    <t>Печать наклейки с резкой по контуру на монтажной пленке 826х1015мм</t>
  </si>
  <si>
    <t>Печать наклейки с резкой по контуру на монтажной пленке 483х992мм</t>
  </si>
  <si>
    <t>Печать А4 250г, 4+4</t>
  </si>
  <si>
    <t>Печать наклейки с резкой по контуру на монтажной пленке 1113х1097мм</t>
  </si>
  <si>
    <t>Гастроли</t>
  </si>
  <si>
    <t>КП РХТУ</t>
  </si>
  <si>
    <t>Печать А4 250г, 4+4, плотная глянцевая ламинация</t>
  </si>
  <si>
    <t>Самбо</t>
  </si>
  <si>
    <t>Печать А4 250г 4+0, мат</t>
  </si>
  <si>
    <t xml:space="preserve">Печать наклейки 15х15см </t>
  </si>
  <si>
    <t>Итого</t>
  </si>
  <si>
    <t xml:space="preserve">Изготовление медали 2 слоя (4+2мм), лента с печатью  </t>
  </si>
  <si>
    <t>Печать блокнота А5, обложка с печатью, задник с печатью печати, блок без печати 30 листов, пружина по короткому краю</t>
  </si>
  <si>
    <t>Изготовление ручки пластиковой с гравировкой</t>
  </si>
  <si>
    <t>Изготовление медали 11,5х11,5см на ленте</t>
  </si>
  <si>
    <t>Изготовление шоппера чёрного с ДТФ нанесением</t>
  </si>
  <si>
    <t>Изготовление шильда Гран-при</t>
  </si>
  <si>
    <t>Стелла 23х13,8см пластик 3мм</t>
  </si>
  <si>
    <t>Стелла 28х16,8см пластик 3мм</t>
  </si>
  <si>
    <t xml:space="preserve">Изготовление футболки с ДТФ нанесением </t>
  </si>
  <si>
    <t>Парк Степанова + аттр</t>
  </si>
  <si>
    <t>Танцы +</t>
  </si>
  <si>
    <t>Разница</t>
  </si>
  <si>
    <t xml:space="preserve">Стимул (Баранова) </t>
  </si>
  <si>
    <t>Кубарев (вк)</t>
  </si>
  <si>
    <t>Печать наклейки 300х350мм на глянцевой самоклейке</t>
  </si>
  <si>
    <t>Бланки А4</t>
  </si>
  <si>
    <t>июнь</t>
  </si>
  <si>
    <t>стелла 10х12см на акриле 3мм с ножкой</t>
  </si>
  <si>
    <t>Баннер 2*3 проклейка люверсы через 50 см</t>
  </si>
  <si>
    <t>июль</t>
  </si>
  <si>
    <t>наклейки с переносом</t>
  </si>
  <si>
    <t>Холсты на подрамнике</t>
  </si>
  <si>
    <t>ролл ап с конструкцией</t>
  </si>
  <si>
    <t xml:space="preserve"> Голубев (ИВПЭК)</t>
  </si>
  <si>
    <t>Долг за 25год</t>
  </si>
  <si>
    <t>Деп. Природных ре-сов (КП)</t>
  </si>
  <si>
    <t xml:space="preserve">ИВПЭК (Голубев) (КП)  </t>
  </si>
  <si>
    <t>ФЕДОРИНА</t>
  </si>
  <si>
    <t>Лобанова</t>
  </si>
  <si>
    <t>Лоджик</t>
  </si>
  <si>
    <t>Изготовление стенда 2,4х1,5м 3мм с карманами (А3 6шт)</t>
  </si>
  <si>
    <t>Изготовление стенда 1,2х1,2м 3мм с карманами (А4 8шт)</t>
  </si>
  <si>
    <t>Изготовление стенда 1,2х1,2м 3мм с карманами (А4 6шт)</t>
  </si>
  <si>
    <t>Изготовление стенда 1,2х1,2м 3мм с карманами (А4 11шт)</t>
  </si>
  <si>
    <t>Изготовление стенда 2х1,5м 3мм</t>
  </si>
  <si>
    <t>Казарцев (макс)</t>
  </si>
  <si>
    <t>Изготовление ручки пластиковой с УФ нанесением</t>
  </si>
  <si>
    <t>Изготовление Блокнота А5, 30 листов, блок белый без печати, пружина сверху,
Печать на обложке и заднике 4+4</t>
  </si>
  <si>
    <t>Печать наклейки 60х40см</t>
  </si>
  <si>
    <t>наклейки</t>
  </si>
  <si>
    <t>печать наклейки 20х12см с резкой и монтажной пленкой</t>
  </si>
  <si>
    <t>Увеличение стоимости стенда (08.05)</t>
  </si>
  <si>
    <t>Мария Постникова</t>
  </si>
  <si>
    <t>Изготовление блокнота А6, 40 стр., обложка 4+0, задник без печати, плотность 200г</t>
  </si>
  <si>
    <t>Изготовление значка закатного 38мм</t>
  </si>
  <si>
    <t>Изготовление ролл-ап 120х200см с конструкцией</t>
  </si>
  <si>
    <t>ЦДО</t>
  </si>
  <si>
    <t xml:space="preserve">Изготовление ПВХ таблички 620х420мм 5мм со светоотражающей </t>
  </si>
  <si>
    <t>Олимп</t>
  </si>
  <si>
    <t>Изготовление керамической кружки с нанесением</t>
  </si>
  <si>
    <t>Изготовление ПВД пакета 30х40см, нанесение в 3 цвета с одной стороны</t>
  </si>
  <si>
    <t>Изготовление ПВД пакета 40х50см, нанесение в 3 цвета с одной стороны</t>
  </si>
  <si>
    <t>ИРО ВДЮОД "Школа безопасности"</t>
  </si>
  <si>
    <t>Изготовление шильдов с гравировкой</t>
  </si>
  <si>
    <t>Ручка – уф печать логотипа</t>
  </si>
  <si>
    <t>Бутылка – с гравировкой логотипа на крышке бутылки</t>
  </si>
  <si>
    <t>Сумка –шоппер с нанесением сублимации логотипа</t>
  </si>
  <si>
    <t>Бейсболка – ДТФ с печатью логотипа</t>
  </si>
  <si>
    <t>Блокнот А5, С логотипом</t>
  </si>
  <si>
    <t>Изготовление рюкзака с логотипом</t>
  </si>
  <si>
    <t>Изготовление ручки пластиковой с УФ печатью</t>
  </si>
  <si>
    <t>Изготовление термокружки с логотипом</t>
  </si>
  <si>
    <t>Изготовление наклейки на медаль 38мм</t>
  </si>
  <si>
    <t>Изготовление ремувки с ДТФ печатью</t>
  </si>
  <si>
    <t>айболит</t>
  </si>
  <si>
    <t>Изготовление магнита винилового 3х3см</t>
  </si>
  <si>
    <t>Изготовление блокнота А6 с ручкой и стикерами</t>
  </si>
  <si>
    <t>Изготовление шоппера с нанесением А5</t>
  </si>
  <si>
    <t>Изготовление ручек с нанесением</t>
  </si>
  <si>
    <t>ЕДРО</t>
  </si>
  <si>
    <t>Изготовление Флагштока виндера</t>
  </si>
  <si>
    <t>2490 + 2450 + 2570 (дороже) = 7510</t>
  </si>
  <si>
    <t>17000+2700+300</t>
  </si>
  <si>
    <t>Изготовление медали (1 место) 6х6см 3мм, двусторонняя печать, с лентой</t>
  </si>
  <si>
    <t>Изготовление медали (2 место) 6х6см 3мм, двусторонняя печать, с лентой</t>
  </si>
  <si>
    <t>Изготовление медали (3 место) 6х6см 3мм, двусторонняя печать, с лентой</t>
  </si>
  <si>
    <t>Спартак</t>
  </si>
  <si>
    <t>Интердом 19-2026 от 09.04.26 - 18.05</t>
  </si>
  <si>
    <t>✓</t>
  </si>
  <si>
    <t>рхту</t>
  </si>
  <si>
    <t>ЛОДЖИК</t>
  </si>
  <si>
    <t>ЛОБАНОВА</t>
  </si>
  <si>
    <t xml:space="preserve">МБДОУ 156 </t>
  </si>
  <si>
    <t xml:space="preserve">Флаг 90х135см  </t>
  </si>
  <si>
    <t>Баннер 3х2 с люверсами и проклейкой края</t>
  </si>
  <si>
    <t>Клей-карандаш</t>
  </si>
  <si>
    <t>Листы бумаги А3</t>
  </si>
  <si>
    <t>Вата медицинская</t>
  </si>
  <si>
    <t>Наклейки с названиями этапов мероприятия</t>
  </si>
  <si>
    <t>Ленты для бейджей</t>
  </si>
  <si>
    <t>визитка 300гр двухсторонняя цветная печать</t>
  </si>
  <si>
    <t>Ольга Шомова (olga-lapylya95@mail.ru)</t>
  </si>
  <si>
    <t>Флешка</t>
  </si>
  <si>
    <t>Табличка «Фото и видеосъёмка запрещена»</t>
  </si>
  <si>
    <t>Коробка картонная с нанесённой наклейкой</t>
  </si>
  <si>
    <t>Буклет с информационно-профилактическими материалами для участников мероприятия</t>
  </si>
  <si>
    <t>Карточка с изображением граффити</t>
  </si>
  <si>
    <t>Карточки с изображением скриншотов публикаций в социальных сетях</t>
  </si>
  <si>
    <t>Карточки с изображением обложек книг</t>
  </si>
  <si>
    <t>Плакаты с информацией о ликвидации последствий террористических актов</t>
  </si>
  <si>
    <t>Карточки с терминами</t>
  </si>
  <si>
    <t>Карточки с определениями</t>
  </si>
  <si>
    <t>Ножницы для бумаги</t>
  </si>
  <si>
    <t>Фишки с обозначением возраста организаторов и участников публичных мероприятий</t>
  </si>
  <si>
    <t>Фишки красные</t>
  </si>
  <si>
    <t>Фишки зелёные</t>
  </si>
  <si>
    <t>Карточка с изображением мест проведения публичных мероприятий</t>
  </si>
  <si>
    <t>Карта-пазл Российской Федерации с обозначением названий субъектов РФ</t>
  </si>
  <si>
    <t>Карта-пазл Ивановской области с обозначением названий муниципальных образований</t>
  </si>
  <si>
    <t>Наклейка с логотипом мероприятия на аптечку</t>
  </si>
  <si>
    <t>Карточка с изображением поэтапного оказания первой медицинской помощи пострадавшему</t>
  </si>
  <si>
    <t>Папка</t>
  </si>
  <si>
    <t>Наклейка на папку</t>
  </si>
  <si>
    <t>Ручки шариковые</t>
  </si>
  <si>
    <t>Буклет-книжка с методическими рекомендациями к проведению мероприятия</t>
  </si>
  <si>
    <t>Таблички с указанием названия этапов мероприятия</t>
  </si>
  <si>
    <t>Карточки с изображениями флагов</t>
  </si>
  <si>
    <t>Карточка с алгоритмом действий при совершении террористического акта</t>
  </si>
  <si>
    <t>Маркеры перманентные цветные</t>
  </si>
  <si>
    <t>Жгуты медицинские</t>
  </si>
  <si>
    <t>Бинты медицинские</t>
  </si>
  <si>
    <t>Пакет-зип</t>
  </si>
  <si>
    <t>12 шт/уп</t>
  </si>
  <si>
    <t>1 уп</t>
  </si>
  <si>
    <t>Багров (макс)</t>
  </si>
  <si>
    <t>Скрипова (макс)</t>
  </si>
  <si>
    <t>Изготовление шоппера с нанесением А4</t>
  </si>
  <si>
    <t xml:space="preserve">Изготовление термокружек 350мл с гравировкой </t>
  </si>
  <si>
    <t xml:space="preserve">ДТФ нанесение на футболку (10х10см - спереди, А4 - сзади) </t>
  </si>
  <si>
    <t>Наталья Фольмер УШУ</t>
  </si>
  <si>
    <t>Изготовление флеш-карты 32гб с гравировкой</t>
  </si>
  <si>
    <t>Изготовление флеш-карты 16гб с коробочкой и гравировкой</t>
  </si>
  <si>
    <t>ИПСА</t>
  </si>
  <si>
    <t>Флаг Российской Федерации</t>
  </si>
  <si>
    <t>Флаг МЧС России</t>
  </si>
  <si>
    <t>Флаг Ивановской области</t>
  </si>
  <si>
    <t>Флаг Тверской области</t>
  </si>
  <si>
    <t>Флаг города Иваново</t>
  </si>
  <si>
    <t>Знамя академии</t>
  </si>
  <si>
    <t>Флагшток тройной</t>
  </si>
  <si>
    <r>
      <t>1.</t>
    </r>
    <r>
      <rPr>
        <sz val="7"/>
        <color rgb="FF000000"/>
        <rFont val="Times New Roman"/>
        <family val="1"/>
        <charset val="204"/>
      </rPr>
      <t xml:space="preserve">      </t>
    </r>
    <r>
      <rPr>
        <sz val="12"/>
        <color rgb="FF000000"/>
        <rFont val="Times New Roman"/>
        <family val="1"/>
        <charset val="204"/>
      </rPr>
      <t> </t>
    </r>
  </si>
  <si>
    <r>
      <t>2.</t>
    </r>
    <r>
      <rPr>
        <sz val="7"/>
        <color rgb="FF000000"/>
        <rFont val="Times New Roman"/>
        <family val="1"/>
        <charset val="204"/>
      </rPr>
      <t xml:space="preserve">      </t>
    </r>
    <r>
      <rPr>
        <sz val="12"/>
        <color rgb="FF000000"/>
        <rFont val="Times New Roman"/>
        <family val="1"/>
        <charset val="204"/>
      </rPr>
      <t> </t>
    </r>
  </si>
  <si>
    <r>
      <t>3.</t>
    </r>
    <r>
      <rPr>
        <sz val="7"/>
        <color rgb="FF000000"/>
        <rFont val="Times New Roman"/>
        <family val="1"/>
        <charset val="204"/>
      </rPr>
      <t xml:space="preserve">      </t>
    </r>
    <r>
      <rPr>
        <sz val="12"/>
        <color rgb="FF000000"/>
        <rFont val="Times New Roman"/>
        <family val="1"/>
        <charset val="204"/>
      </rPr>
      <t> </t>
    </r>
  </si>
  <si>
    <r>
      <t>4.</t>
    </r>
    <r>
      <rPr>
        <sz val="7"/>
        <color theme="1"/>
        <rFont val="Times New Roman"/>
        <family val="1"/>
        <charset val="204"/>
      </rPr>
      <t xml:space="preserve">     </t>
    </r>
    <r>
      <rPr>
        <sz val="14"/>
        <color theme="1"/>
        <rFont val="Times New Roman"/>
        <family val="1"/>
        <charset val="204"/>
      </rPr>
      <t> </t>
    </r>
  </si>
  <si>
    <r>
      <t>5.</t>
    </r>
    <r>
      <rPr>
        <sz val="7"/>
        <color theme="1"/>
        <rFont val="Times New Roman"/>
        <family val="1"/>
        <charset val="204"/>
      </rPr>
      <t xml:space="preserve">     </t>
    </r>
    <r>
      <rPr>
        <sz val="14"/>
        <color theme="1"/>
        <rFont val="Times New Roman"/>
        <family val="1"/>
        <charset val="204"/>
      </rPr>
      <t> </t>
    </r>
  </si>
  <si>
    <r>
      <t>6.</t>
    </r>
    <r>
      <rPr>
        <sz val="7"/>
        <color theme="1"/>
        <rFont val="Times New Roman"/>
        <family val="1"/>
        <charset val="204"/>
      </rPr>
      <t xml:space="preserve">     </t>
    </r>
    <r>
      <rPr>
        <sz val="14"/>
        <color theme="1"/>
        <rFont val="Times New Roman"/>
        <family val="1"/>
        <charset val="204"/>
      </rPr>
      <t> </t>
    </r>
  </si>
  <si>
    <r>
      <t>7.</t>
    </r>
    <r>
      <rPr>
        <sz val="7"/>
        <color theme="1"/>
        <rFont val="Times New Roman"/>
        <family val="1"/>
        <charset val="204"/>
      </rPr>
      <t xml:space="preserve">     </t>
    </r>
    <r>
      <rPr>
        <sz val="14"/>
        <color theme="1"/>
        <rFont val="Times New Roman"/>
        <family val="1"/>
        <charset val="204"/>
      </rPr>
      <t> </t>
    </r>
  </si>
  <si>
    <t>Анастасия Родина</t>
  </si>
  <si>
    <t>Изготовление картхолдера с нанесением</t>
  </si>
  <si>
    <t>Изготовление бспроводного зарядного устройства с нанесением</t>
  </si>
  <si>
    <t>Изготовление ручки пластиковой с уф печатью</t>
  </si>
  <si>
    <t>Изготовление блокнота а5, обложка с печатью, задник без печати, блок 30 листов без печати, пружина сверху</t>
  </si>
  <si>
    <t>Изготовление Шоппера с нанесением а5</t>
  </si>
  <si>
    <t>Изготовление бутылки для воды спортивная с гравировкой на крышке</t>
  </si>
  <si>
    <t>от 22.05</t>
  </si>
  <si>
    <t>от 25.05</t>
  </si>
  <si>
    <t>печать стикерпака а6</t>
  </si>
  <si>
    <t xml:space="preserve">изготовление медалей 6 х 6 см х 4 мм с лентой </t>
  </si>
  <si>
    <t>Изготовление беспроводного зарядного устройства с нанесением логотипа</t>
  </si>
  <si>
    <t>Изготовление пледа с вышивкой</t>
  </si>
  <si>
    <t>Изготовление бутылки для питья с печатью</t>
  </si>
  <si>
    <t>Изготовление металлического термоса (черный) с гравировкой</t>
  </si>
  <si>
    <t>Изготовление металлического термоса (темно-зеленый) с гравировкой</t>
  </si>
  <si>
    <t xml:space="preserve">Изготовление брелка 5х5см пластик 2мм с односторонней цветной печатью </t>
  </si>
  <si>
    <t>А.Е Муз шк 25.05</t>
  </si>
  <si>
    <t xml:space="preserve">Печать А3 </t>
  </si>
  <si>
    <t xml:space="preserve">Печать бумажных браслетов </t>
  </si>
  <si>
    <t>Изготовление пауэрбанка с логотипом</t>
  </si>
  <si>
    <t>пвх табличка 3мм 200 х 400мм</t>
  </si>
  <si>
    <t xml:space="preserve">визитки </t>
  </si>
  <si>
    <t>ленты</t>
  </si>
  <si>
    <t>Башкирова</t>
  </si>
  <si>
    <t>А4 150г 4+0</t>
  </si>
  <si>
    <t>А4 115г 4+0</t>
  </si>
  <si>
    <t>А5 150г 4+0</t>
  </si>
  <si>
    <t>А5 115г 4+0</t>
  </si>
  <si>
    <t>Изготовление наклеек</t>
  </si>
  <si>
    <t xml:space="preserve">Флаг с логотипом ИвГУ 150х100 полиэфирный шелк печать односторонняя </t>
  </si>
  <si>
    <t>Флаг с логотипом первичной профсоюзной организации 150х100 полиэфирный шелк печать односторонняя</t>
  </si>
  <si>
    <t>Флаг с логотипом института 150х100 полиэфирный шелк печать односторонняя</t>
  </si>
  <si>
    <t>Репьёв вк</t>
  </si>
  <si>
    <t>Изготовление закатного значка 56мм</t>
  </si>
  <si>
    <t>Печать диплома А4 250гр, 4+0</t>
  </si>
  <si>
    <t>Изготовление ежедневника с УФ печатью</t>
  </si>
  <si>
    <t>ИВГУ 07.05 будет позже</t>
  </si>
  <si>
    <t xml:space="preserve">ИВГУ 26.05 подписано </t>
  </si>
  <si>
    <t>баннер 8,6 х 1м</t>
  </si>
  <si>
    <t>ИВГПУ</t>
  </si>
  <si>
    <t>Поп-ап 3482 х 2286 мм (5 х 698мм)</t>
  </si>
  <si>
    <t>БОНАНЗА</t>
  </si>
  <si>
    <t xml:space="preserve">Печать благодарностей </t>
  </si>
  <si>
    <t>Изготовление кружек</t>
  </si>
  <si>
    <t>Печать конвертов</t>
  </si>
  <si>
    <t>ФЕД ФУТБОЛА</t>
  </si>
  <si>
    <t>Плакаты</t>
  </si>
  <si>
    <t>Стеллы</t>
  </si>
  <si>
    <t>Кирдянова София вк</t>
  </si>
  <si>
    <t>ПФХ табличка 1000 х 700 х 5мм</t>
  </si>
  <si>
    <t>Флаер А5 115 4+4</t>
  </si>
  <si>
    <t>Консультант Виктория</t>
  </si>
  <si>
    <t xml:space="preserve">Изготовление шопперов с нанесением </t>
  </si>
  <si>
    <t>Стелла на пластике 8 мм 12×8 см</t>
  </si>
  <si>
    <t>Стелла  8 мм 16×10 см, с накладкой из золотого пластика с гравировкой и наклейкой на основании</t>
  </si>
  <si>
    <t>Разработка дизайна</t>
  </si>
  <si>
    <t>Сергей Рябцев (ЦСП)</t>
  </si>
  <si>
    <t>счет 482</t>
  </si>
  <si>
    <t>Стикеры</t>
  </si>
  <si>
    <t>Бутылка для воды</t>
  </si>
  <si>
    <t>Кружка</t>
  </si>
  <si>
    <t>Притяжение (оплата долга)</t>
  </si>
  <si>
    <t xml:space="preserve">Печать меню А4, 115гр, глянец, средняя ламинация, 4+0 </t>
  </si>
  <si>
    <t>Печать меню А5, 115гр, глянец, плотная ламинация, 4+0</t>
  </si>
  <si>
    <t>Печать меню А5, 115гр, глянец, средняя ламинация, 4+0</t>
  </si>
  <si>
    <t>Дёмина (сальвадор)</t>
  </si>
  <si>
    <t>Неробеева (притяжение)</t>
  </si>
  <si>
    <t>Изготовление значков 38мм</t>
  </si>
  <si>
    <t>Изготовление бутылки для воды с гравировкой на крышке</t>
  </si>
  <si>
    <t>Изготовление кружки керамической с нанесением</t>
  </si>
  <si>
    <t>Изготовление бутылки для воды с гравировкой на крышке 660мл</t>
  </si>
  <si>
    <t>Изготовление блокнота А5, обложка 250г 4+0, блок 30 л, задник без печати, пружина сверху</t>
  </si>
  <si>
    <t>Изготовление ручки пластиковой с нанесением</t>
  </si>
  <si>
    <t xml:space="preserve">Изготовление медали 6х6см х 2мм, 4+0, с лентой </t>
  </si>
  <si>
    <t>Изготовление футболок с нанесением</t>
  </si>
  <si>
    <t>Изготовление баннера 3х2, с люверсами</t>
  </si>
  <si>
    <t>Березовая роща</t>
  </si>
  <si>
    <t>Изготовление флага для троса 1,35 х 0,9 м, двусторонний, полиэфир</t>
  </si>
  <si>
    <t>Изготовление баннера 3х2м, с люверсами</t>
  </si>
  <si>
    <t>Печать удостоверений</t>
  </si>
  <si>
    <t>Визитка 300гр 4+4</t>
  </si>
  <si>
    <t>лифлет А4 115гр 4+4 2 бига</t>
  </si>
  <si>
    <t>карточка 100х66мм 300гр 4+4 средняя лам</t>
  </si>
  <si>
    <t>ХЗ КТО</t>
  </si>
  <si>
    <t xml:space="preserve">Изготовление кружек хамелеон </t>
  </si>
  <si>
    <t>Орлова (МСКО)</t>
  </si>
  <si>
    <t>Пауэрбанк</t>
  </si>
  <si>
    <t xml:space="preserve">ДТФ печать 340 х 250 мм </t>
  </si>
  <si>
    <t xml:space="preserve">ДТФ печать 140 х 165 мм </t>
  </si>
  <si>
    <t>ДТФ печать 64 х 97 + 250 х 345мм</t>
  </si>
  <si>
    <t>ДТФ печать 243 х 400 + 70 х 90мм</t>
  </si>
  <si>
    <t>Даниил Соловьев (вк)</t>
  </si>
  <si>
    <t>Силкина</t>
  </si>
  <si>
    <t>Изготовление баннера 3,12 х 0,9м</t>
  </si>
  <si>
    <t>Изготовление баннера 3х2м с люверсами</t>
  </si>
  <si>
    <t>Дарья Голубева</t>
  </si>
  <si>
    <t>Табличка 250 х 750мм х 5мм</t>
  </si>
  <si>
    <t>Печать наклейки 500х250мм</t>
  </si>
  <si>
    <t>Изготовление баннера 3,12 х 3,12 м</t>
  </si>
  <si>
    <t>Печать меню 140х297мм, бумага дизайнерская серая, матовая ламинация, 1+1</t>
  </si>
  <si>
    <t>табличка 700 х 500 х 5мм, 4+4</t>
  </si>
  <si>
    <t>Бейдж 145 х 100, 250г, 4+0, ламинация, ланьярд</t>
  </si>
  <si>
    <t>Печать Наклейки 1,06 х 2,09 м</t>
  </si>
  <si>
    <t>Печать Наклейки 1,06 х 0,64 м</t>
  </si>
  <si>
    <t>Печать наклейки 1,06 х 1,218 м</t>
  </si>
  <si>
    <t>Печать ценника 40х62мм</t>
  </si>
  <si>
    <t>Печать наклейки А4</t>
  </si>
  <si>
    <t>тк Мёд</t>
  </si>
  <si>
    <t>Вкладыши 105 х 148мм 115г</t>
  </si>
  <si>
    <t>Вкладыши 140 х 140мм 115г</t>
  </si>
  <si>
    <t>Карта-пазл Российской Федерации с обозначением названий субъектов Российской Федерации</t>
  </si>
  <si>
    <t>Карта-пазл Ивановской области с обозначением названий муниципальных образований Ивановской области</t>
  </si>
  <si>
    <t>Карточка с изображением поэтапного оказания первой помощи пострадавшему</t>
  </si>
  <si>
    <t>Наклейка с логотипом мероприятия на папку</t>
  </si>
  <si>
    <t>Буклет-книжка в готовом виде с методическими рекомендациями к проведению мероприятия</t>
  </si>
  <si>
    <t>Лист бумаги формата А3</t>
  </si>
  <si>
    <t>Жгут медицинский</t>
  </si>
  <si>
    <t>Бинт медицинский</t>
  </si>
  <si>
    <t>Наим</t>
  </si>
  <si>
    <t>шт</t>
  </si>
  <si>
    <t>цена</t>
  </si>
  <si>
    <t>сумма</t>
  </si>
  <si>
    <t>Карта-пазл Ивановской области</t>
  </si>
  <si>
    <t>Стоимость</t>
  </si>
  <si>
    <t>ГТО</t>
  </si>
  <si>
    <t xml:space="preserve">Изготовление ремувки </t>
  </si>
  <si>
    <t>Печать листовки 150 х 100мм, 115г, 4+0</t>
  </si>
  <si>
    <t xml:space="preserve">Фигура из ПВХ 740 х 795мм х 5мм </t>
  </si>
  <si>
    <t>Изготовление Дизайна макета</t>
  </si>
  <si>
    <t>Изготовление баннера 3 х 5м, с люверсами</t>
  </si>
  <si>
    <t>Табличка фото и видео</t>
  </si>
  <si>
    <t>Коробка</t>
  </si>
  <si>
    <t>Буклет информационный</t>
  </si>
  <si>
    <t>Карточки граффити</t>
  </si>
  <si>
    <t>Карточки скриншоты</t>
  </si>
  <si>
    <t>Карточки обложки</t>
  </si>
  <si>
    <t>Карточки термины</t>
  </si>
  <si>
    <t>Карточки определения</t>
  </si>
  <si>
    <t>Ножницы</t>
  </si>
  <si>
    <t>Фишки с возрастом комплект</t>
  </si>
  <si>
    <t>Фишки красные и зеленые комплект</t>
  </si>
  <si>
    <t>Карточка места проведения</t>
  </si>
  <si>
    <t>Наклейка на аптечку</t>
  </si>
  <si>
    <t>Карточка первая помощь</t>
  </si>
  <si>
    <t>Наклейка на папку с логотипом</t>
  </si>
  <si>
    <t>Ручка</t>
  </si>
  <si>
    <t>Буклет книжка</t>
  </si>
  <si>
    <t>Таблички этапы</t>
  </si>
  <si>
    <t>Таблички флаги</t>
  </si>
  <si>
    <t>Табличка алгоритм</t>
  </si>
  <si>
    <t>Карта пазл Иваново</t>
  </si>
  <si>
    <t>Карта пазл Россия</t>
  </si>
  <si>
    <t>Маркеры перманентные</t>
  </si>
  <si>
    <t>Клей карандаш</t>
  </si>
  <si>
    <t>Лист бумаги А3</t>
  </si>
  <si>
    <t>Жгут</t>
  </si>
  <si>
    <t>Бинт</t>
  </si>
  <si>
    <t>Вата</t>
  </si>
  <si>
    <t>Наклейка на папку этапы</t>
  </si>
  <si>
    <t>Шоппер</t>
  </si>
  <si>
    <t>Значок закатный</t>
  </si>
  <si>
    <t>Кружка керамическая</t>
  </si>
  <si>
    <t>Блокнот</t>
  </si>
  <si>
    <t>Медаль</t>
  </si>
  <si>
    <t>Притяжение (просчет)</t>
  </si>
  <si>
    <t>ед изм</t>
  </si>
  <si>
    <t>КП И СЧЕТ</t>
  </si>
  <si>
    <t>Корытова (Солнечный круг)</t>
  </si>
  <si>
    <t>Печать Дипломов</t>
  </si>
  <si>
    <t>Печать флажка бумажного А5 170г 4+4 Россия</t>
  </si>
  <si>
    <t>Печать флажка бумажного А5 170г 4+4 Родники</t>
  </si>
  <si>
    <t>Печать флажка бумажного А5 170г 4+4 Кохма</t>
  </si>
  <si>
    <t>Печать флажка бумажного А5 170г 4+4 Шуя</t>
  </si>
  <si>
    <t>Печать флажка бумажного А5 170г 4+4 Кинешма</t>
  </si>
  <si>
    <t>Изготовление ПВХ таблички 500 х 474 х 5мм с фигурной резкой</t>
  </si>
  <si>
    <t>Печать меню 18х29см 250гр глянец, двухсторонняя цветная печать, глянцевая плотная ламинация, чёрная пружина</t>
  </si>
  <si>
    <t>Якимычева</t>
  </si>
  <si>
    <t>Организация</t>
  </si>
  <si>
    <t>Дог. 02-06 от 02.06.26</t>
  </si>
  <si>
    <t>Примечание</t>
  </si>
  <si>
    <t>+</t>
  </si>
  <si>
    <t>сумма по счету</t>
  </si>
  <si>
    <t>Накопленный расход</t>
  </si>
  <si>
    <t>Остаток по договору</t>
  </si>
  <si>
    <t>счет 404 от 04.06</t>
  </si>
  <si>
    <t>-</t>
  </si>
  <si>
    <t>Факт расход</t>
  </si>
  <si>
    <t>Шишкин Колинз</t>
  </si>
  <si>
    <t>Печать плаката 1000х600мм</t>
  </si>
  <si>
    <t>Изготовление блокнота а5 обложка полноцвет, задник без печати, блок 40 листов без печати, пружина сверху</t>
  </si>
  <si>
    <t>Изготовление ручек с УФ печатью</t>
  </si>
  <si>
    <t xml:space="preserve">ДТФ нанесение </t>
  </si>
  <si>
    <t>Счет 509</t>
  </si>
  <si>
    <t>Печать листовки А4, 200г, 4+0</t>
  </si>
  <si>
    <t>Печать А5, 200г, 4+4</t>
  </si>
  <si>
    <t>Печать А3, 200г, 4+4</t>
  </si>
  <si>
    <t>Счет готов</t>
  </si>
  <si>
    <t>Выставил</t>
  </si>
  <si>
    <t>Счет 500</t>
  </si>
  <si>
    <t>Печать меню А5, 300г, 1+1, плотная глянцевая ламинация</t>
  </si>
  <si>
    <t>Печать пробников А5 + А4 офсет 1+1</t>
  </si>
  <si>
    <t xml:space="preserve">Вегас </t>
  </si>
  <si>
    <t>Печать А4 250г, 4+0</t>
  </si>
  <si>
    <t>Печать самоклейки 315 х 486мм с резкой по контуру, на монтажной пленке</t>
  </si>
  <si>
    <t>Количество</t>
  </si>
  <si>
    <t>Табличка «Съёмка запрещена»</t>
  </si>
  <si>
    <t>Коробка с наклейкой</t>
  </si>
  <si>
    <t>Информационный буклет</t>
  </si>
  <si>
    <t>Карточка с граффити</t>
  </si>
  <si>
    <t>Карточки соцсетей</t>
  </si>
  <si>
    <t>Карточки обложек книг</t>
  </si>
  <si>
    <t>Плакаты антитеррор</t>
  </si>
  <si>
    <t>Карточки терминов</t>
  </si>
  <si>
    <t>Карточки определений</t>
  </si>
  <si>
    <t>Карточка мест мероприятий</t>
  </si>
  <si>
    <t>Карта-пазл России</t>
  </si>
  <si>
    <t>Карточка первой помощи</t>
  </si>
  <si>
    <t>Папка-конверт</t>
  </si>
  <si>
    <t>Шариковые ручки</t>
  </si>
  <si>
    <t>Таблички этапов</t>
  </si>
  <si>
    <t>Карточки флагов</t>
  </si>
  <si>
    <t>Карточка алгоритма действий</t>
  </si>
  <si>
    <t>Флешка 16 ГБ</t>
  </si>
  <si>
    <t>Перманентные маркеры</t>
  </si>
  <si>
    <t>Листы А3</t>
  </si>
  <si>
    <t>Жгут Эсмарха</t>
  </si>
  <si>
    <t>Марлевые бинты</t>
  </si>
  <si>
    <t>Хирургическая вата</t>
  </si>
  <si>
    <t>Зип-пакеты</t>
  </si>
  <si>
    <t>Наклейки этапов</t>
  </si>
  <si>
    <t>Наклейки с логотипом</t>
  </si>
  <si>
    <t>Фишки с возрастом комплект (24шт)</t>
  </si>
  <si>
    <t>Цветные фишки (24шт)</t>
  </si>
  <si>
    <t>Коротков (РАНХиГС)</t>
  </si>
  <si>
    <t>Изготовление флешки 32гб с гравировко</t>
  </si>
  <si>
    <t xml:space="preserve">Изготовление баннера 15 х 10 </t>
  </si>
  <si>
    <t>Изготовление термокружки с гравировкой</t>
  </si>
  <si>
    <t>Александр Петров</t>
  </si>
  <si>
    <t>Печать блокнота А5, 60 листов, блок без печати, обложка 4+0, задник без печати, пружина по длинному краю</t>
  </si>
  <si>
    <t>Изготовление пластиковой ручки, печать с двух сторон</t>
  </si>
  <si>
    <t>Изготовление пакета 15 х 25 х 10см, бумага 200г, 4+0, матовая ламинация</t>
  </si>
  <si>
    <t>Изготовление футболки с дтф нанесением 34 х 34см + 36 х 12см</t>
  </si>
  <si>
    <t>РХТУ</t>
  </si>
  <si>
    <t>Изготовление пластиковой ручки, уф-печать с двух сторон</t>
  </si>
  <si>
    <t>Изготовление белой футболки 100% хлопок 180 г/м2 с дтф нанесением 34 х 34см + 36 х 10см (лицевая сторона) + 36х14 (обратная сторона), 44-46 размер</t>
  </si>
  <si>
    <t>Изготовление белой футболки 100% хлопок 180 г/м2 с дтф нанесением 34 х 34см + 36 х 10см (лицевая сторона) + 36х14 (обратная сторона), 48-50 размер</t>
  </si>
  <si>
    <t>Изготовление белой футболки 100% хлопок 180 г/м2 с дтф нанесением 34 х 34см + 36 х 10см (лицевая сторона) + 36х14 (обратная сторона), 52-54 размер</t>
  </si>
  <si>
    <t>Изготовление белой футболки 100% хлопок 180 г/м2 с дтф нанесением 34 х 34см + 36 х 10см (лицевая сторона) + 36х14 (обратная сторона), 56-58 размер</t>
  </si>
  <si>
    <t>Жадан</t>
  </si>
  <si>
    <t>Изготовление стеллы 20 х 20 х 2см</t>
  </si>
  <si>
    <t>ДТФ нанесение на футболки заказчика</t>
  </si>
  <si>
    <t>ДТФ нанесение на шоппер</t>
  </si>
  <si>
    <t>Конорева</t>
  </si>
  <si>
    <t>Изготовление стеллы 117х210х3мм</t>
  </si>
  <si>
    <t>Изготовление стеллы 83х148х3мм</t>
  </si>
  <si>
    <t xml:space="preserve">Печать наклеек </t>
  </si>
  <si>
    <t>Печать Дипломов А4 250г, 4+0</t>
  </si>
  <si>
    <t>Ледовских</t>
  </si>
  <si>
    <t>Печать меню 180 х 297мм 250г 1+1 плотная ламинация</t>
  </si>
  <si>
    <t>Печать меню 255 х 420мм 250г 1+1 плотная ламинация</t>
  </si>
  <si>
    <t xml:space="preserve">Дизайн макета </t>
  </si>
  <si>
    <t xml:space="preserve">Зонт </t>
  </si>
  <si>
    <t>Ежедневник</t>
  </si>
  <si>
    <t xml:space="preserve">Флеш-накопитель </t>
  </si>
  <si>
    <t>Сертификат за участие</t>
  </si>
  <si>
    <t>Общая</t>
  </si>
  <si>
    <t>МКУ Молодежный центр 10,06 - 03,11</t>
  </si>
  <si>
    <t>Савинский мун район</t>
  </si>
  <si>
    <t>5175 + 7200</t>
  </si>
  <si>
    <t>Изготовление баннера 4,2 х 2м с проклейкой</t>
  </si>
  <si>
    <t>Баннер 3 х 3 м, с проклейкой и люверсами, с джокерной конструкцией</t>
  </si>
  <si>
    <t>Баннер 3 х 6 м, проклейкой и люверсами</t>
  </si>
  <si>
    <t xml:space="preserve">Блокнот А5, блок 30 л без печати, обложка 4+0, </t>
  </si>
  <si>
    <t xml:space="preserve">ПВД пакет с нанесением в один цвет </t>
  </si>
  <si>
    <t>Ручка с уф печатью</t>
  </si>
  <si>
    <t>Торговый автомат механический</t>
  </si>
  <si>
    <t>10 500,00</t>
  </si>
  <si>
    <t xml:space="preserve">Визитка с 3D cтикером </t>
  </si>
  <si>
    <t>Брелок из акрила</t>
  </si>
  <si>
    <t>3D cтикеры с символикой проекта</t>
  </si>
  <si>
    <t>Металлический значок</t>
  </si>
  <si>
    <t>Закладки магнитные «ТВОЙ ХОД»</t>
  </si>
  <si>
    <t>Открытка с символикой проекта А6</t>
  </si>
  <si>
    <t>Смирнова вк</t>
  </si>
  <si>
    <t>Печать А6 115г 4+4</t>
  </si>
  <si>
    <t>Печать А6 130г 4+4</t>
  </si>
  <si>
    <t>Цена за шт., руб.</t>
  </si>
  <si>
    <t>Сумма, руб.</t>
  </si>
  <si>
    <t>Поло с нанесением логотипа проекта</t>
  </si>
  <si>
    <t>Ремувка с нанесением логотипа проекта</t>
  </si>
  <si>
    <t>Ручка с нанесением логотипа проекта</t>
  </si>
  <si>
    <t>Блокнот с нанесением логотипа проекта</t>
  </si>
  <si>
    <t>Термокружка с нанесением логотипа проекта</t>
  </si>
  <si>
    <t>Внешний аккумулятор (Power Bank) с нанесением логотипа проекта</t>
  </si>
  <si>
    <t>Жилет с нанесением логотипа проекта</t>
  </si>
  <si>
    <t>ИТОГО</t>
  </si>
  <si>
    <t>Поп-ап 3×2 м тканевый изогнутый, двусторонняя печать</t>
  </si>
  <si>
    <t>Красный крест ()</t>
  </si>
  <si>
    <t>Любовь Зубарева Макс</t>
  </si>
  <si>
    <t>Печать 105×297 мм, 250 г 1x0, 3 бига</t>
  </si>
  <si>
    <t>Индивидуальная карта участника молодёжных мероприятий</t>
  </si>
  <si>
    <t>Наклейка на индивидуальную карту участника молодёжных мероприятий</t>
  </si>
  <si>
    <t>Баннер 2х2 (круг) с люверсами и проклейкой</t>
  </si>
  <si>
    <t>Александра миронова</t>
  </si>
  <si>
    <t>Стелла 145 х 150мм, 5мм толщина</t>
  </si>
  <si>
    <t>Баннер 0.45 х 0.9 м с люверсами и проклейкой</t>
  </si>
  <si>
    <t xml:space="preserve">Изготовление брелка с фурнитурой </t>
  </si>
  <si>
    <t>Печать стикерпака А5</t>
  </si>
  <si>
    <t>Профсоюз</t>
  </si>
  <si>
    <t xml:space="preserve">Печать плаката 600 х 1000мм </t>
  </si>
  <si>
    <t>Печать 308,5 х 210 мм, 250г, 4+0, 3 бига</t>
  </si>
  <si>
    <t>Изготовление шоппера с нанесением</t>
  </si>
  <si>
    <t>Изготовление бутылки с нанесением</t>
  </si>
  <si>
    <t>Изготовление браслета с нанесением</t>
  </si>
  <si>
    <t>Изготовление комплекта стикеров формата А5</t>
  </si>
  <si>
    <t>Изготовление игрового поля «Крестики-нолики» из каната Ø18 мм, размер 1 х 1 м</t>
  </si>
  <si>
    <t>Изготовление фигур для игры «Крестики-нолики» размером 250 мм</t>
  </si>
  <si>
    <t>Изготовление игрового поля для игры «Морской бой», баннер 2,2 х 1,5 м с проклейкой края</t>
  </si>
  <si>
    <t>Изготовление разделительного экрана для игры «Морской бой», баннер 2 х 3 м, двусторонний, с люверсами и проклейкой края</t>
  </si>
  <si>
    <t>Изготовление фигуры «Линкор» для игры «Морской бой», размер 1,2 х 0,6 м</t>
  </si>
  <si>
    <t>Изготовление фигуры «Крейсер» для игры «Морской бой», размер 0,9 х 0,45 м</t>
  </si>
  <si>
    <t>Изготовление фигуры «Эсминец» для игры «Морской бой», размер 0,6 х 0,3 м</t>
  </si>
  <si>
    <t>Изготовление фигуры «Катер» для игры «Морской бой», размер 0,3 х 0,13 м</t>
  </si>
  <si>
    <t>ДЕНЬ МОЛОДЕЖИ</t>
  </si>
  <si>
    <t>ДТФ нанесение на футболки</t>
  </si>
  <si>
    <t>5250.00</t>
  </si>
  <si>
    <t>Бэйсик</t>
  </si>
  <si>
    <t>Карцева КПМП</t>
  </si>
  <si>
    <t>Печать флажков А5 170 4+4</t>
  </si>
  <si>
    <t>Печать 420 х 42мм 170 4+4</t>
  </si>
  <si>
    <t>Изготовление ПВХ таблички 3мм 340 х 800мм</t>
  </si>
  <si>
    <t>Печать А4 250 4+0</t>
  </si>
  <si>
    <t xml:space="preserve">Изготовление баннера 3 х 2 м с люверсами и проклейкой </t>
  </si>
  <si>
    <t>Теремова</t>
  </si>
  <si>
    <t>Табличка ПВХ 0,75 х 1,5м 5мм</t>
  </si>
  <si>
    <t>Баннер 2,8 х 1м (полотно)</t>
  </si>
  <si>
    <t>Печать наклейки "40х40 мм" с резкой</t>
  </si>
  <si>
    <t>Печать наклейки "70х70 мм" с резкой</t>
  </si>
  <si>
    <t xml:space="preserve"> </t>
  </si>
  <si>
    <t>Ручка шариковая с гравировкой - Ивановская пожарно-спасательная академия ГПС МЧС России</t>
  </si>
  <si>
    <t>Кепка с логотипом академии</t>
  </si>
  <si>
    <t>Плакетка деревянная  с прозрачным пластиком с логотипом академии</t>
  </si>
  <si>
    <t>Ручка шариковая металлическая с гравировкой - Ивановская пожарно-спасательная академия ГПС МЧС России</t>
  </si>
  <si>
    <t>Ежедневник недатированный с логотипом академии</t>
  </si>
  <si>
    <t>Стелла акриловая 4 мм, 450х500 мм</t>
  </si>
  <si>
    <t>Фатхулина договор от 06.07</t>
  </si>
  <si>
    <t>Гусев</t>
  </si>
  <si>
    <t>Изготовление бутылки с гравировкой на крышке</t>
  </si>
  <si>
    <t xml:space="preserve">Изготовление стеллы 145 х 130 х 4мм </t>
  </si>
  <si>
    <t>Светлана Смирнова</t>
  </si>
  <si>
    <t>Изготовление блокнота А5 30л блок белый, печать на обложке, пружина сверху</t>
  </si>
  <si>
    <t>Изготовление ручки с гравировкой на крышке</t>
  </si>
  <si>
    <t>Изготовление ПВХ 10 мм 700х137 мм + 80х730 мм</t>
  </si>
  <si>
    <t>Изготовление ПВХ 10 мм 900х309 мм + 920х100 мм</t>
  </si>
  <si>
    <t>ИГХТУ от 23.05</t>
  </si>
  <si>
    <t>Табличка ПВХ 3мм А4</t>
  </si>
  <si>
    <t>Шикова</t>
  </si>
  <si>
    <t>Бутылка с уф печатью</t>
  </si>
  <si>
    <t>наклейка 30 х 30мм</t>
  </si>
  <si>
    <t>Флажок А5170г 4+4 с пластиковой палочкой</t>
  </si>
  <si>
    <t>Брелок акрил с печатью 4+4</t>
  </si>
  <si>
    <t>Печать лифлета A4, 115 г, 4x4, 2 бига</t>
  </si>
  <si>
    <t>баннер 2,98м х 3,98 см  люверсами  и с проклейкой края</t>
  </si>
  <si>
    <t>Печать A3, 250 г, 4x0</t>
  </si>
  <si>
    <t xml:space="preserve">Часы из ПВХ 5мм, диаметр 30см </t>
  </si>
  <si>
    <t xml:space="preserve">Часы из акрила 2мм, диаметр 30см </t>
  </si>
  <si>
    <t>наклейка 30 х 40мм</t>
  </si>
  <si>
    <t>табличка 60х30см пвх 3мм</t>
  </si>
  <si>
    <t xml:space="preserve">наклейка круглая 15х15см на белой самоклейке, </t>
  </si>
  <si>
    <t xml:space="preserve">баннер 3 х 2м с люверсами </t>
  </si>
  <si>
    <t>Усиленная конструкция</t>
  </si>
  <si>
    <t>РАБОТЫ РОССИИ</t>
  </si>
  <si>
    <t>сметанинка</t>
  </si>
  <si>
    <t>Печать A4, 115 г, 4x4</t>
  </si>
  <si>
    <t xml:space="preserve">Паук 1800 х 800мм </t>
  </si>
  <si>
    <t>лысина</t>
  </si>
  <si>
    <t>Печать на самоклейке 600 х 600 мм</t>
  </si>
  <si>
    <t>Печать на самоклейке 400 х 400 мм</t>
  </si>
  <si>
    <t>Изготовление баннера 2.25х3 м с люверсами</t>
  </si>
  <si>
    <t>Изготовление Баннер 3 х 2,25 с проклейкой</t>
  </si>
  <si>
    <t>Изготовление ПВХ Номеров  100 х 65 х 10мм</t>
  </si>
  <si>
    <t>СЗ "СК Статус"</t>
  </si>
  <si>
    <t>Табличка ПВХ 5мм, 300 х 200 мм</t>
  </si>
  <si>
    <t>Печать А7, 115г, 4+0</t>
  </si>
  <si>
    <t>ДТФ нанесение на футболку</t>
  </si>
  <si>
    <t>Ручки пластик с уф печатью</t>
  </si>
  <si>
    <t>Блокноты формата а5 с печатью только на внешней стороне обложки, внутри 50л без печати и без ламинации</t>
  </si>
  <si>
    <t>Флешка-браслет с логотипом</t>
  </si>
  <si>
    <t>Бандана 55*55 см, полиэфирный Шелк</t>
  </si>
  <si>
    <t>Мешки для обуви 35 х 43 см, полиэстер, цвет серый/синий</t>
  </si>
  <si>
    <t>ОКМСКТ</t>
  </si>
  <si>
    <t>Изготовление бейджа на серебрянном пластике с магнитными держателями</t>
  </si>
  <si>
    <t xml:space="preserve">Парк степанова безнал </t>
  </si>
  <si>
    <t>Владимир Парк степанова наличка</t>
  </si>
  <si>
    <t>Изготовление баннера 2 х 1 м с люверсами</t>
  </si>
  <si>
    <t xml:space="preserve">Печать наклейки 395х500 мм </t>
  </si>
  <si>
    <t>Изготовление ПВХ 5 мм 200х300 мм</t>
  </si>
  <si>
    <t xml:space="preserve">Галина аттракционы </t>
  </si>
  <si>
    <t xml:space="preserve">Печать наклейки 1600х360 мм </t>
  </si>
  <si>
    <t xml:space="preserve">Печать наклейки 1034х698 мм </t>
  </si>
  <si>
    <t xml:space="preserve">Печать наклейки 555х1040 мм </t>
  </si>
  <si>
    <t xml:space="preserve">Печать наклейки 660х1040 мм </t>
  </si>
  <si>
    <t xml:space="preserve">Печать наклейки 700х1200 мм </t>
  </si>
  <si>
    <t xml:space="preserve">Печать наклейки 700х610 мм </t>
  </si>
  <si>
    <t>Печать наклейки 480 х 600 мм</t>
  </si>
  <si>
    <t xml:space="preserve">Печать наклейки 2090 х 3020 мм </t>
  </si>
  <si>
    <t>Печать наклейки 600х500 мм</t>
  </si>
  <si>
    <t>Изготовление ПВХ 5 мм 400х200 мм</t>
  </si>
  <si>
    <t>Изготовление ПВХ 5 мм 400х800 мм</t>
  </si>
  <si>
    <t>Изготовление ПВХ 5 мм 260х1000 мм</t>
  </si>
  <si>
    <t>Печать наклейки 490х390 мм</t>
  </si>
  <si>
    <t xml:space="preserve">Печать наклейки 500х300 мм </t>
  </si>
  <si>
    <t>Изготовление баннера 12.8х2.7 м с люверсами</t>
  </si>
  <si>
    <t xml:space="preserve">Изготовление знака из композита </t>
  </si>
  <si>
    <t>Ольга Ремизова</t>
  </si>
  <si>
    <t>Изготовление баннера 12.8х1,1 м с люверсами</t>
  </si>
  <si>
    <t>Кружка керамическая с нанесением</t>
  </si>
  <si>
    <t>Коврик для мыши</t>
  </si>
  <si>
    <t>Бутылки с УФ печатью</t>
  </si>
  <si>
    <t>Кепка с вышивкой</t>
  </si>
  <si>
    <t>Ручка пластик УФ печать</t>
  </si>
  <si>
    <t xml:space="preserve">Карманный календарь, 300г, 4+4, лам - глянц тонкая </t>
  </si>
  <si>
    <t>Термокружка «с гравировкой  логотипа академии</t>
  </si>
  <si>
    <t>Карандаш простой с гравировкой  - Ивановская пожарно-спасательная академия ГПС МЧС России</t>
  </si>
  <si>
    <t>Ежедневник на кольцах с беспроводной зарядкой, флэш-накопителем с логотипом академии.</t>
  </si>
  <si>
    <t>Коллинз</t>
  </si>
  <si>
    <t>Печать А4, 200г, 4+4 (Распродажные ценники)</t>
  </si>
  <si>
    <t>Печать А4, 200г, 4+0 (Распродажные ценники)</t>
  </si>
  <si>
    <t>Амосов</t>
  </si>
  <si>
    <t>Голубев</t>
  </si>
  <si>
    <t>мошкарина ИГЭУ</t>
  </si>
  <si>
    <t>Бейдж участника А6</t>
  </si>
  <si>
    <t>Бейдж организатора А6</t>
  </si>
  <si>
    <t>Ручка с логотипом</t>
  </si>
  <si>
    <t>Блокнот с логотипом А5</t>
  </si>
  <si>
    <t>Изготовление ПВХ 3 мм 300х60 мм</t>
  </si>
  <si>
    <t>Изготовление ПВХ 3 мм 100х60 мм</t>
  </si>
  <si>
    <t>Изготовление ПВХ 3 мм 300х120 мм</t>
  </si>
  <si>
    <t>Печать  А4, 200г 4+0 (порог 7000 sale)</t>
  </si>
  <si>
    <t>Печать  А3, 200г, 4+4 (порог 7000 sale)</t>
  </si>
  <si>
    <t>Печать  1000х600мм (порог 7000 sale)</t>
  </si>
  <si>
    <t>Печать А5, 200г, 4+4 (порог 7000 sale)</t>
  </si>
  <si>
    <t>58 Школа  - Фатхулина Контракт от 08.07</t>
  </si>
  <si>
    <t>Табличка из ПВХ 3мм, 1000х750см, с глянцевой ламинацией</t>
  </si>
  <si>
    <t>Стелла из акрила 4 мм, 450х500 мм</t>
  </si>
  <si>
    <t>КП</t>
  </si>
  <si>
    <t>Баннер 3.5 х 2.4 м с люверсами</t>
  </si>
  <si>
    <t>Харинка</t>
  </si>
  <si>
    <t>Флагшток парус 2,5 х 0,7м с основанием плитка 400 х 400 мм</t>
  </si>
  <si>
    <t>Табличка из ПВХ 5 мм, 1000х260 мм</t>
  </si>
  <si>
    <r>
      <t xml:space="preserve">Диплом победителя </t>
    </r>
    <r>
      <rPr>
        <sz val="18"/>
        <color theme="1"/>
        <rFont val="Segoe UI Variable Small Semibol"/>
        <charset val="204"/>
      </rPr>
      <t xml:space="preserve"> </t>
    </r>
  </si>
  <si>
    <t>Печать 140х70 мм, 115 г, 4+0</t>
  </si>
  <si>
    <t>Рубашка поло с вышивкой</t>
  </si>
  <si>
    <t>Брелок из акрила 2мм, 50х50мм + фурнитура</t>
  </si>
  <si>
    <t>Стикерпак А6</t>
  </si>
  <si>
    <t>Сумка с ДТФ нанесением</t>
  </si>
  <si>
    <t>Подставка для телефона с гравировкой, дерево</t>
  </si>
  <si>
    <t>Ремувка, черная</t>
  </si>
  <si>
    <t>Значок закатной 56мм</t>
  </si>
  <si>
    <t>Значок закатной 38мм</t>
  </si>
  <si>
    <t>Проснякова Кристина КПМП</t>
  </si>
  <si>
    <t>Бейдж 13х9см 250гр, двухсторонняя цветная печать, глянцевая средняя ламинация, скруглённые углы, отверстие под карабин круглое по центру</t>
  </si>
  <si>
    <t>Открытка А6 250гр матовая двухсторонняя цветная печать</t>
  </si>
  <si>
    <t>Стенд из ПВХ 3 мм, 1750х1400 мм с карманами А4 2шт</t>
  </si>
  <si>
    <t>Баннер 1х2 м с люверсами</t>
  </si>
  <si>
    <t>Баннер 0.85х0.6 м с люверсами</t>
  </si>
  <si>
    <t>Баннер 2.5х0.4 м с люверсами</t>
  </si>
  <si>
    <t>СтарТин</t>
  </si>
  <si>
    <t>Брелок из акрила 2мм</t>
  </si>
  <si>
    <t>Отдел спорта Фурманов</t>
  </si>
  <si>
    <t>Футболка с ДТФ нанесением</t>
  </si>
  <si>
    <t>Зонт с нанесением</t>
  </si>
  <si>
    <t>Наклейка, 12шт</t>
  </si>
  <si>
    <t>Карточки, 100шт</t>
  </si>
  <si>
    <t>ПВХ стенд 750х1200мм (7шт)</t>
  </si>
  <si>
    <t>Печать наклейки 40х40 мм</t>
  </si>
  <si>
    <t>Ролл-ап 200х100 см</t>
  </si>
  <si>
    <t xml:space="preserve">Блокнот А6 30 листов, блок белый без печати, пружина сверху 4+0 </t>
  </si>
  <si>
    <t>Бутылки темно-серые, красные и прозрачные уф нанесение</t>
  </si>
  <si>
    <t>Подставка под телефон гравировка и уф</t>
  </si>
  <si>
    <t xml:space="preserve">Брелоки прозрачный пластик 2мм </t>
  </si>
  <si>
    <t>Значок</t>
  </si>
  <si>
    <t>Ручки серые, черные и белые, уф нанесение</t>
  </si>
  <si>
    <t>карманный календарь закр углы, лам, прип 2мм</t>
  </si>
  <si>
    <t>Самоклейка1.3м стикерпаки А6</t>
  </si>
  <si>
    <t>кепки с вышивкой</t>
  </si>
  <si>
    <t>Поло с вышивкой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</si>
</sst>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2"/>
      <color theme="3"/>
      <name val="Calibri"/>
      <family val="2"/>
      <charset val="204"/>
      <scheme val="minor"/>
    </font>
    <font>
      <b/>
      <sz val="16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2"/>
      <color rgb="FF92D05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  <font>
      <b/>
      <sz val="16"/>
      <color theme="1" tint="0.249977111117893"/>
      <name val="Times New Roman"/>
      <family val="1"/>
      <charset val="204"/>
    </font>
    <font>
      <sz val="11"/>
      <color theme="1" tint="0.249977111117893"/>
      <name val="Times New Roman"/>
      <family val="1"/>
      <charset val="204"/>
    </font>
    <font>
      <b/>
      <sz val="12"/>
      <color theme="1" tint="0.249977111117893"/>
      <name val="Times New Roman"/>
      <family val="1"/>
      <charset val="204"/>
    </font>
    <font>
      <b/>
      <sz val="14"/>
      <color theme="1" tint="0.249977111117893"/>
      <name val="Times New Roman"/>
      <family val="1"/>
      <charset val="204"/>
    </font>
    <font>
      <b/>
      <sz val="15"/>
      <color theme="1" tint="0.249977111117893"/>
      <name val="Times New Roman"/>
      <family val="1"/>
      <charset val="204"/>
    </font>
    <font>
      <b/>
      <sz val="11"/>
      <color theme="1" tint="0.249977111117893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8"/>
      <color theme="3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b/>
      <sz val="20"/>
      <color theme="3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8"/>
      <color rgb="FFE46C0A"/>
      <name val="Times New Roman"/>
      <family val="1"/>
      <charset val="204"/>
    </font>
    <font>
      <sz val="20"/>
      <color rgb="FF000000"/>
      <name val="Calibri"/>
      <family val="2"/>
      <charset val="204"/>
      <scheme val="minor"/>
    </font>
    <font>
      <b/>
      <sz val="16"/>
      <color theme="3" tint="-0.499984740745262"/>
      <name val="Times New Roman"/>
      <family val="1"/>
      <charset val="204"/>
    </font>
    <font>
      <b/>
      <sz val="13"/>
      <color theme="3" tint="-0.499984740745262"/>
      <name val="Times New Roman"/>
      <family val="1"/>
      <charset val="204"/>
    </font>
    <font>
      <b/>
      <sz val="12"/>
      <color theme="3" tint="-0.499984740745262"/>
      <name val="Times New Roman"/>
      <family val="1"/>
      <charset val="204"/>
    </font>
    <font>
      <b/>
      <sz val="15"/>
      <color theme="3" tint="-0.499984740745262"/>
      <name val="Times New Roman"/>
      <family val="1"/>
      <charset val="204"/>
    </font>
    <font>
      <sz val="11"/>
      <color theme="3" tint="-0.499984740745262"/>
      <name val="Times New Roman"/>
      <family val="1"/>
      <charset val="204"/>
    </font>
    <font>
      <b/>
      <sz val="11"/>
      <color theme="3" tint="-0.499984740745262"/>
      <name val="Times New Roman"/>
      <family val="1"/>
      <charset val="204"/>
    </font>
    <font>
      <b/>
      <sz val="16"/>
      <color theme="3" tint="-0.499984740745262"/>
      <name val="Calibri"/>
      <family val="2"/>
      <charset val="204"/>
      <scheme val="minor"/>
    </font>
    <font>
      <b/>
      <sz val="12"/>
      <color theme="3" tint="-0.49998474074526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0"/>
      <color theme="3" tint="-0.499984740745262"/>
      <name val="Arial"/>
      <family val="2"/>
      <charset val="204"/>
    </font>
    <font>
      <b/>
      <sz val="12"/>
      <color theme="3" tint="-0.499984740745262"/>
      <name val="Arial"/>
      <family val="2"/>
      <charset val="204"/>
    </font>
    <font>
      <sz val="12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8"/>
      <color theme="3"/>
      <name val="Segoe UI Variable Small Semibol"/>
      <charset val="204"/>
    </font>
    <font>
      <sz val="18"/>
      <color theme="1"/>
      <name val="Segoe UI Variable Small Semibol"/>
      <charset val="204"/>
    </font>
    <font>
      <b/>
      <sz val="18"/>
      <color rgb="FF92D050"/>
      <name val="Segoe UI Variable Small Semibol"/>
      <charset val="204"/>
    </font>
    <font>
      <b/>
      <sz val="18"/>
      <color theme="1"/>
      <name val="Segoe UI Variable Small Semibol"/>
      <charset val="204"/>
    </font>
    <font>
      <b/>
      <sz val="18"/>
      <color rgb="FF44546A"/>
      <name val="Segoe UI Variable Small Semibol"/>
      <charset val="204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CDD4E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rgb="FF000000"/>
      </patternFill>
    </fill>
  </fills>
  <borders count="6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dashed">
        <color theme="0" tint="-0.499984740745262"/>
      </left>
      <right style="dashed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ck">
        <color theme="4"/>
      </top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dashed">
        <color theme="0" tint="-0.499984740745262"/>
      </left>
      <right style="dashed">
        <color theme="0" tint="-0.499984740745262"/>
      </right>
      <top/>
      <bottom style="thick">
        <color theme="4"/>
      </bottom>
      <diagonal/>
    </border>
    <border>
      <left style="dashed">
        <color theme="0" tint="-0.499984740745262"/>
      </left>
      <right style="dashed">
        <color theme="0" tint="-0.499984740745262"/>
      </right>
      <top/>
      <bottom/>
      <diagonal/>
    </border>
    <border>
      <left style="dashed">
        <color theme="0" tint="-0.499984740745262"/>
      </left>
      <right style="thin">
        <color theme="0" tint="-0.14999847407452621"/>
      </right>
      <top style="dashed">
        <color theme="0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dashed">
        <color theme="0" tint="-0.499984740745262"/>
      </top>
      <bottom style="thin">
        <color theme="0" tint="-0.14999847407452621"/>
      </bottom>
      <diagonal/>
    </border>
    <border>
      <left style="dashed">
        <color theme="0" tint="-0.499984740745262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dashed">
        <color theme="0" tint="-0.499984740745262"/>
      </left>
      <right/>
      <top/>
      <bottom/>
      <diagonal/>
    </border>
    <border>
      <left style="dashed">
        <color theme="0" tint="-0.499984740745262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dashed">
        <color theme="0" tint="-0.499984740745262"/>
      </left>
      <right style="thin">
        <color theme="0" tint="-0.14999847407452621"/>
      </right>
      <top/>
      <bottom/>
      <diagonal/>
    </border>
    <border>
      <left style="dashed">
        <color theme="0" tint="-0.499984740745262"/>
      </left>
      <right style="thin">
        <color theme="0" tint="-0.14999847407452621"/>
      </right>
      <top style="thin">
        <color theme="0" tint="-0.14999847407452621"/>
      </top>
      <bottom style="dashed">
        <color theme="0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dashed">
        <color theme="0" tint="-0.499984740745262"/>
      </bottom>
      <diagonal/>
    </border>
    <border>
      <left style="thin">
        <color theme="0" tint="-0.14999847407452621"/>
      </left>
      <right/>
      <top style="dashed">
        <color theme="0" tint="-0.499984740745262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dashed">
        <color theme="0" tint="-0.499984740745262"/>
      </bottom>
      <diagonal/>
    </border>
    <border>
      <left style="thin">
        <color theme="0" tint="-0.14999847407452621"/>
      </left>
      <right/>
      <top/>
      <bottom/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 style="dashed">
        <color theme="0" tint="-0.499984740745262"/>
      </top>
      <bottom style="thin">
        <color theme="0" tint="-0.14999847407452621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 style="thick">
        <color theme="4"/>
      </bottom>
      <diagonal/>
    </border>
    <border>
      <left style="medium">
        <color theme="0" tint="-0.499984740745262"/>
      </left>
      <right style="medium">
        <color theme="0" tint="-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medium">
        <color theme="0" tint="-0.499984740745262"/>
      </right>
      <top/>
      <bottom/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dashed">
        <color theme="0" tint="-0.499984740745262"/>
      </right>
      <top style="medium">
        <color theme="0" tint="-0.499984740745262"/>
      </top>
      <bottom style="dashed">
        <color theme="0" tint="-0.499984740745262"/>
      </bottom>
      <diagonal/>
    </border>
    <border>
      <left style="dashed">
        <color theme="0" tint="-0.499984740745262"/>
      </left>
      <right style="dashed">
        <color theme="0" tint="-0.499984740745262"/>
      </right>
      <top style="medium">
        <color theme="0" tint="-0.499984740745262"/>
      </top>
      <bottom style="dashed">
        <color theme="0" tint="-0.499984740745262"/>
      </bottom>
      <diagonal/>
    </border>
    <border>
      <left style="dashed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dashed">
        <color theme="0" tint="-0.499984740745262"/>
      </bottom>
      <diagonal/>
    </border>
    <border>
      <left style="medium">
        <color theme="0" tint="-0.499984740745262"/>
      </left>
      <right style="dashed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dashed">
        <color theme="0" tint="-0.499984740745262"/>
      </left>
      <right style="medium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medium">
        <color theme="0" tint="-0.499984740745262"/>
      </left>
      <right style="dashed">
        <color theme="0" tint="-0.499984740745262"/>
      </right>
      <top style="dashed">
        <color theme="0" tint="-0.499984740745262"/>
      </top>
      <bottom style="medium">
        <color theme="0" tint="-0.499984740745262"/>
      </bottom>
      <diagonal/>
    </border>
    <border>
      <left style="dashed">
        <color theme="0" tint="-0.499984740745262"/>
      </left>
      <right style="dashed">
        <color theme="0" tint="-0.499984740745262"/>
      </right>
      <top style="dashed">
        <color theme="0" tint="-0.499984740745262"/>
      </top>
      <bottom style="medium">
        <color theme="0" tint="-0.499984740745262"/>
      </bottom>
      <diagonal/>
    </border>
    <border>
      <left style="dashed">
        <color theme="0" tint="-0.499984740745262"/>
      </left>
      <right style="medium">
        <color theme="0" tint="-0.499984740745262"/>
      </right>
      <top style="dashed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14999847407452621"/>
      </left>
      <right/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14999847407452621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rgb="FFD9D9D9"/>
      </left>
      <right style="thin">
        <color rgb="FFD9D9D9"/>
      </right>
      <top style="medium">
        <color theme="0" tint="-0.49998474074526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dashed">
        <color rgb="FF80808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0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0" fontId="6" fillId="2" borderId="4" applyNumberFormat="0" applyFill="0" applyBorder="0" applyAlignment="0" applyProtection="0"/>
    <xf numFmtId="0" fontId="4" fillId="3" borderId="1" applyAlignment="0"/>
    <xf numFmtId="0" fontId="3" fillId="0" borderId="0">
      <alignment horizontal="right" vertical="center" wrapText="1"/>
    </xf>
    <xf numFmtId="0" fontId="5" fillId="0" borderId="2" applyNumberFormat="0" applyFill="0" applyAlignment="0" applyProtection="0"/>
    <xf numFmtId="0" fontId="19" fillId="5" borderId="0" applyNumberFormat="0" applyBorder="0" applyAlignment="0" applyProtection="0"/>
    <xf numFmtId="0" fontId="19" fillId="6" borderId="3" applyFont="0" applyAlignment="0"/>
    <xf numFmtId="0" fontId="19" fillId="11" borderId="0" applyNumberFormat="0" applyBorder="0" applyAlignment="0" applyProtection="0"/>
  </cellStyleXfs>
  <cellXfs count="316">
    <xf numFmtId="0" fontId="0" fillId="0" borderId="0" xfId="0"/>
    <xf numFmtId="0" fontId="4" fillId="3" borderId="1" xfId="4"/>
    <xf numFmtId="0" fontId="4" fillId="4" borderId="1" xfId="4" applyFill="1" applyAlignment="1">
      <alignment horizontal="center" vertical="center"/>
    </xf>
    <xf numFmtId="0" fontId="4" fillId="4" borderId="1" xfId="4" applyFill="1" applyAlignment="1">
      <alignment horizontal="center" vertical="center" wrapText="1"/>
    </xf>
    <xf numFmtId="0" fontId="4" fillId="4" borderId="1" xfId="4" applyFill="1" applyAlignment="1">
      <alignment horizontal="right" vertical="center"/>
    </xf>
    <xf numFmtId="0" fontId="0" fillId="0" borderId="3" xfId="0" applyBorder="1"/>
    <xf numFmtId="0" fontId="8" fillId="0" borderId="0" xfId="0" applyFont="1"/>
    <xf numFmtId="0" fontId="9" fillId="4" borderId="1" xfId="4" applyFont="1" applyFill="1" applyAlignment="1">
      <alignment horizontal="center" vertical="center"/>
    </xf>
    <xf numFmtId="0" fontId="9" fillId="4" borderId="1" xfId="4" applyFont="1" applyFill="1" applyAlignment="1">
      <alignment horizontal="right" vertical="center"/>
    </xf>
    <xf numFmtId="0" fontId="9" fillId="3" borderId="1" xfId="4" applyFont="1"/>
    <xf numFmtId="0" fontId="9" fillId="3" borderId="1" xfId="4" applyFont="1" applyAlignment="1">
      <alignment horizontal="right" vertical="center"/>
    </xf>
    <xf numFmtId="0" fontId="10" fillId="0" borderId="0" xfId="0" applyFont="1"/>
    <xf numFmtId="0" fontId="11" fillId="0" borderId="0" xfId="2" applyFont="1" applyAlignment="1">
      <alignment horizontal="right" vertical="center"/>
    </xf>
    <xf numFmtId="0" fontId="11" fillId="0" borderId="0" xfId="2" applyNumberFormat="1" applyFont="1" applyAlignment="1">
      <alignment horizontal="right" vertical="center"/>
    </xf>
    <xf numFmtId="0" fontId="12" fillId="0" borderId="0" xfId="2" applyNumberFormat="1" applyFont="1" applyAlignment="1">
      <alignment horizontal="right" vertical="center"/>
    </xf>
    <xf numFmtId="0" fontId="13" fillId="3" borderId="1" xfId="1" applyFont="1" applyFill="1" applyAlignment="1">
      <alignment horizontal="right" vertical="center"/>
    </xf>
    <xf numFmtId="0" fontId="13" fillId="3" borderId="1" xfId="1" applyNumberFormat="1" applyFont="1" applyFill="1" applyAlignment="1">
      <alignment horizontal="right" vertical="center"/>
    </xf>
    <xf numFmtId="0" fontId="13" fillId="3" borderId="1" xfId="1" applyFont="1" applyFill="1"/>
    <xf numFmtId="0" fontId="10" fillId="0" borderId="0" xfId="0" applyFont="1" applyFill="1" applyAlignment="1">
      <alignment horizontal="left" vertical="center" wrapText="1"/>
    </xf>
    <xf numFmtId="0" fontId="10" fillId="0" borderId="0" xfId="2" applyFont="1" applyFill="1" applyAlignment="1">
      <alignment horizontal="center" vertical="center"/>
    </xf>
    <xf numFmtId="0" fontId="10" fillId="0" borderId="0" xfId="2" applyNumberFormat="1" applyFont="1" applyFill="1" applyAlignment="1">
      <alignment horizontal="center" vertical="center"/>
    </xf>
    <xf numFmtId="0" fontId="10" fillId="0" borderId="0" xfId="2" applyNumberFormat="1" applyFont="1" applyAlignment="1">
      <alignment horizontal="center" vertical="center"/>
    </xf>
    <xf numFmtId="0" fontId="11" fillId="2" borderId="4" xfId="3" applyFont="1"/>
    <xf numFmtId="0" fontId="9" fillId="3" borderId="3" xfId="4" applyFont="1" applyBorder="1" applyAlignment="1">
      <alignment horizontal="right" vertical="center"/>
    </xf>
    <xf numFmtId="0" fontId="9" fillId="3" borderId="3" xfId="4" applyFont="1" applyBorder="1"/>
    <xf numFmtId="0" fontId="11" fillId="0" borderId="3" xfId="2" applyFont="1" applyBorder="1" applyAlignment="1">
      <alignment horizontal="right" vertical="center"/>
    </xf>
    <xf numFmtId="0" fontId="11" fillId="0" borderId="3" xfId="2" applyNumberFormat="1" applyFont="1" applyBorder="1" applyAlignment="1">
      <alignment horizontal="right" vertical="center"/>
    </xf>
    <xf numFmtId="0" fontId="12" fillId="0" borderId="3" xfId="2" applyNumberFormat="1" applyFont="1" applyBorder="1" applyAlignment="1">
      <alignment horizontal="right" vertical="center"/>
    </xf>
    <xf numFmtId="0" fontId="10" fillId="0" borderId="3" xfId="0" applyFont="1" applyBorder="1"/>
    <xf numFmtId="0" fontId="14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5" fillId="0" borderId="9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4" fillId="3" borderId="1" xfId="4" applyAlignment="1">
      <alignment horizontal="left" wrapText="1"/>
    </xf>
    <xf numFmtId="0" fontId="0" fillId="0" borderId="0" xfId="0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0" fillId="0" borderId="0" xfId="0" applyFont="1" applyAlignment="1">
      <alignment horizontal="right" vertical="center" wrapText="1"/>
    </xf>
    <xf numFmtId="0" fontId="4" fillId="3" borderId="1" xfId="4"/>
    <xf numFmtId="0" fontId="0" fillId="0" borderId="3" xfId="0" applyBorder="1"/>
    <xf numFmtId="0" fontId="0" fillId="0" borderId="7" xfId="0" applyBorder="1"/>
    <xf numFmtId="0" fontId="10" fillId="0" borderId="0" xfId="0" applyFont="1"/>
    <xf numFmtId="0" fontId="11" fillId="0" borderId="0" xfId="2" applyFont="1" applyAlignment="1">
      <alignment horizontal="right" vertical="center"/>
    </xf>
    <xf numFmtId="0" fontId="11" fillId="0" borderId="0" xfId="2" applyNumberFormat="1" applyFont="1" applyAlignment="1">
      <alignment horizontal="right" vertical="center"/>
    </xf>
    <xf numFmtId="0" fontId="12" fillId="0" borderId="0" xfId="2" applyNumberFormat="1" applyFont="1" applyAlignment="1">
      <alignment horizontal="right" vertical="center"/>
    </xf>
    <xf numFmtId="0" fontId="4" fillId="3" borderId="1" xfId="4" applyAlignment="1">
      <alignment horizontal="left" wrapText="1"/>
    </xf>
    <xf numFmtId="0" fontId="3" fillId="0" borderId="0" xfId="2" applyFont="1" applyBorder="1" applyAlignment="1">
      <alignment horizontal="left" wrapText="1"/>
    </xf>
    <xf numFmtId="0" fontId="4" fillId="3" borderId="1" xfId="4" applyFont="1"/>
    <xf numFmtId="0" fontId="3" fillId="0" borderId="6" xfId="2" applyFont="1" applyBorder="1" applyAlignment="1">
      <alignment horizontal="left" wrapText="1"/>
    </xf>
    <xf numFmtId="0" fontId="4" fillId="3" borderId="1" xfId="4" applyAlignment="1">
      <alignment horizontal="right" vertical="center" indent="1"/>
    </xf>
    <xf numFmtId="0" fontId="4" fillId="3" borderId="1" xfId="4" applyAlignment="1">
      <alignment horizontal="center" vertical="center"/>
    </xf>
    <xf numFmtId="0" fontId="3" fillId="7" borderId="3" xfId="2" applyNumberFormat="1" applyFont="1" applyFill="1" applyBorder="1" applyAlignment="1">
      <alignment horizontal="right" vertical="center" indent="1"/>
    </xf>
    <xf numFmtId="0" fontId="3" fillId="7" borderId="22" xfId="2" applyNumberFormat="1" applyFont="1" applyFill="1" applyBorder="1" applyAlignment="1">
      <alignment horizontal="center" vertical="center"/>
    </xf>
    <xf numFmtId="0" fontId="3" fillId="7" borderId="0" xfId="2" applyNumberFormat="1" applyFont="1" applyFill="1" applyBorder="1" applyAlignment="1">
      <alignment horizontal="right" vertical="center" indent="1"/>
    </xf>
    <xf numFmtId="0" fontId="3" fillId="7" borderId="21" xfId="2" applyFont="1" applyFill="1" applyBorder="1" applyAlignment="1">
      <alignment horizontal="center" vertical="center"/>
    </xf>
    <xf numFmtId="0" fontId="4" fillId="3" borderId="22" xfId="4" applyBorder="1" applyAlignment="1">
      <alignment horizontal="center" vertical="center"/>
    </xf>
    <xf numFmtId="0" fontId="4" fillId="3" borderId="0" xfId="4" applyBorder="1" applyAlignment="1">
      <alignment horizontal="right" vertical="center" indent="1"/>
    </xf>
    <xf numFmtId="0" fontId="3" fillId="7" borderId="19" xfId="2" applyNumberFormat="1" applyFont="1" applyFill="1" applyBorder="1" applyAlignment="1">
      <alignment horizontal="center" vertical="center"/>
    </xf>
    <xf numFmtId="0" fontId="3" fillId="7" borderId="20" xfId="2" applyNumberFormat="1" applyFont="1" applyFill="1" applyBorder="1" applyAlignment="1">
      <alignment horizontal="right" vertical="center" indent="1"/>
    </xf>
    <xf numFmtId="0" fontId="3" fillId="7" borderId="6" xfId="2" applyNumberFormat="1" applyFont="1" applyFill="1" applyBorder="1" applyAlignment="1">
      <alignment horizontal="right" vertical="center" indent="1"/>
    </xf>
    <xf numFmtId="0" fontId="3" fillId="7" borderId="27" xfId="2" applyNumberFormat="1" applyFont="1" applyFill="1" applyBorder="1" applyAlignment="1">
      <alignment horizontal="right" vertical="center" indent="1"/>
    </xf>
    <xf numFmtId="0" fontId="23" fillId="8" borderId="33" xfId="2" applyNumberFormat="1" applyFont="1" applyFill="1" applyBorder="1" applyAlignment="1">
      <alignment horizontal="right" vertical="center"/>
    </xf>
    <xf numFmtId="0" fontId="22" fillId="0" borderId="0" xfId="0" applyFont="1"/>
    <xf numFmtId="0" fontId="22" fillId="5" borderId="1" xfId="7" applyFont="1" applyBorder="1" applyAlignment="1">
      <alignment horizontal="center" vertical="center" wrapText="1"/>
    </xf>
    <xf numFmtId="0" fontId="22" fillId="5" borderId="1" xfId="7" applyFont="1" applyBorder="1" applyAlignment="1">
      <alignment horizontal="center" vertical="center"/>
    </xf>
    <xf numFmtId="0" fontId="22" fillId="5" borderId="17" xfId="7" applyFont="1" applyBorder="1" applyAlignment="1">
      <alignment horizontal="center" vertical="center"/>
    </xf>
    <xf numFmtId="0" fontId="22" fillId="0" borderId="18" xfId="0" applyFont="1" applyBorder="1"/>
    <xf numFmtId="0" fontId="4" fillId="3" borderId="17" xfId="4" applyFont="1" applyBorder="1"/>
    <xf numFmtId="0" fontId="22" fillId="5" borderId="17" xfId="7" applyFont="1" applyBorder="1" applyAlignment="1">
      <alignment horizontal="center" vertical="center" wrapText="1"/>
    </xf>
    <xf numFmtId="0" fontId="1" fillId="4" borderId="56" xfId="1" applyFill="1" applyBorder="1" applyAlignment="1">
      <alignment horizontal="center" vertical="center"/>
    </xf>
    <xf numFmtId="0" fontId="1" fillId="7" borderId="56" xfId="1" applyFill="1" applyBorder="1" applyAlignment="1">
      <alignment horizontal="right" vertical="center" indent="1"/>
    </xf>
    <xf numFmtId="0" fontId="1" fillId="7" borderId="57" xfId="1" applyFill="1" applyBorder="1" applyAlignment="1">
      <alignment horizontal="right" vertical="center" indent="1"/>
    </xf>
    <xf numFmtId="0" fontId="1" fillId="4" borderId="58" xfId="1" applyFill="1" applyBorder="1" applyAlignment="1">
      <alignment horizontal="center" vertical="center"/>
    </xf>
    <xf numFmtId="0" fontId="4" fillId="8" borderId="46" xfId="1" applyFont="1" applyFill="1" applyBorder="1" applyAlignment="1">
      <alignment horizontal="right" vertical="center"/>
    </xf>
    <xf numFmtId="0" fontId="0" fillId="0" borderId="18" xfId="0" applyBorder="1"/>
    <xf numFmtId="0" fontId="1" fillId="7" borderId="58" xfId="1" applyFill="1" applyBorder="1" applyAlignment="1">
      <alignment horizontal="center" vertical="center"/>
    </xf>
    <xf numFmtId="0" fontId="1" fillId="4" borderId="46" xfId="1" applyFill="1" applyBorder="1" applyAlignment="1">
      <alignment horizontal="left" vertical="center" wrapText="1"/>
    </xf>
    <xf numFmtId="0" fontId="24" fillId="0" borderId="3" xfId="0" applyFont="1" applyBorder="1" applyAlignment="1">
      <alignment horizontal="center" vertical="center"/>
    </xf>
    <xf numFmtId="0" fontId="25" fillId="3" borderId="1" xfId="4" applyFont="1" applyAlignment="1">
      <alignment horizontal="center" vertical="center"/>
    </xf>
    <xf numFmtId="10" fontId="10" fillId="0" borderId="0" xfId="0" applyNumberFormat="1" applyFont="1"/>
    <xf numFmtId="0" fontId="20" fillId="0" borderId="0" xfId="0" applyFont="1" applyAlignment="1">
      <alignment horizontal="left" vertical="center" wrapText="1"/>
    </xf>
    <xf numFmtId="0" fontId="0" fillId="6" borderId="43" xfId="0" applyFont="1" applyFill="1" applyBorder="1" applyAlignment="1">
      <alignment horizontal="left" vertical="center" wrapText="1"/>
    </xf>
    <xf numFmtId="0" fontId="0" fillId="6" borderId="12" xfId="0" applyFont="1" applyFill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6" fillId="6" borderId="0" xfId="0" applyFont="1" applyFill="1" applyAlignment="1">
      <alignment horizontal="left" vertical="center" wrapText="1"/>
    </xf>
    <xf numFmtId="0" fontId="27" fillId="0" borderId="51" xfId="0" applyFont="1" applyBorder="1" applyAlignment="1">
      <alignment horizontal="left" vertical="center" wrapText="1"/>
    </xf>
    <xf numFmtId="0" fontId="27" fillId="0" borderId="52" xfId="0" applyFont="1" applyBorder="1" applyAlignment="1">
      <alignment horizontal="left" vertical="center" wrapText="1"/>
    </xf>
    <xf numFmtId="0" fontId="27" fillId="0" borderId="37" xfId="0" applyFont="1" applyBorder="1" applyAlignment="1">
      <alignment horizontal="left" vertical="center" wrapText="1"/>
    </xf>
    <xf numFmtId="0" fontId="27" fillId="0" borderId="0" xfId="0" applyFont="1" applyFill="1" applyBorder="1" applyAlignment="1">
      <alignment horizontal="left" vertical="center" wrapText="1"/>
    </xf>
    <xf numFmtId="0" fontId="26" fillId="0" borderId="48" xfId="0" applyFont="1" applyBorder="1" applyAlignment="1">
      <alignment horizontal="left" vertical="center" wrapText="1"/>
    </xf>
    <xf numFmtId="0" fontId="26" fillId="0" borderId="49" xfId="0" applyFont="1" applyBorder="1" applyAlignment="1">
      <alignment horizontal="left" vertical="center" wrapText="1"/>
    </xf>
    <xf numFmtId="0" fontId="26" fillId="6" borderId="50" xfId="0" applyFont="1" applyFill="1" applyBorder="1" applyAlignment="1">
      <alignment horizontal="left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6" fillId="6" borderId="41" xfId="0" applyFont="1" applyFill="1" applyBorder="1" applyAlignment="1">
      <alignment horizontal="left" vertical="center" wrapText="1"/>
    </xf>
    <xf numFmtId="0" fontId="26" fillId="6" borderId="42" xfId="0" applyFont="1" applyFill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26" fillId="0" borderId="0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8" fillId="9" borderId="40" xfId="0" applyFont="1" applyFill="1" applyBorder="1" applyAlignment="1">
      <alignment horizontal="left" vertical="center" wrapText="1"/>
    </xf>
    <xf numFmtId="0" fontId="28" fillId="9" borderId="41" xfId="0" applyFont="1" applyFill="1" applyBorder="1" applyAlignment="1">
      <alignment horizontal="left" vertical="center" wrapText="1"/>
    </xf>
    <xf numFmtId="0" fontId="26" fillId="6" borderId="43" xfId="0" applyFont="1" applyFill="1" applyBorder="1" applyAlignment="1">
      <alignment horizontal="left" vertical="center" wrapText="1"/>
    </xf>
    <xf numFmtId="0" fontId="26" fillId="6" borderId="12" xfId="0" applyFont="1" applyFill="1" applyBorder="1" applyAlignment="1">
      <alignment horizontal="left" vertical="center" wrapText="1"/>
    </xf>
    <xf numFmtId="0" fontId="26" fillId="6" borderId="44" xfId="0" applyFont="1" applyFill="1" applyBorder="1" applyAlignment="1">
      <alignment horizontal="left" vertical="center" wrapText="1"/>
    </xf>
    <xf numFmtId="0" fontId="28" fillId="9" borderId="43" xfId="0" applyFont="1" applyFill="1" applyBorder="1" applyAlignment="1">
      <alignment horizontal="left" vertical="center" wrapText="1"/>
    </xf>
    <xf numFmtId="0" fontId="28" fillId="9" borderId="12" xfId="0" applyFont="1" applyFill="1" applyBorder="1" applyAlignment="1">
      <alignment horizontal="left" vertical="center" wrapText="1"/>
    </xf>
    <xf numFmtId="0" fontId="29" fillId="9" borderId="43" xfId="0" applyFont="1" applyFill="1" applyBorder="1" applyAlignment="1">
      <alignment horizontal="left" vertical="center" wrapText="1"/>
    </xf>
    <xf numFmtId="4" fontId="30" fillId="9" borderId="12" xfId="0" applyNumberFormat="1" applyFont="1" applyFill="1" applyBorder="1" applyAlignment="1">
      <alignment horizontal="left" vertical="center" wrapText="1"/>
    </xf>
    <xf numFmtId="0" fontId="30" fillId="9" borderId="12" xfId="0" applyFont="1" applyFill="1" applyBorder="1" applyAlignment="1">
      <alignment horizontal="left" vertical="center" wrapText="1"/>
    </xf>
    <xf numFmtId="0" fontId="28" fillId="9" borderId="45" xfId="0" applyFont="1" applyFill="1" applyBorder="1" applyAlignment="1">
      <alignment horizontal="left" vertical="center" wrapText="1"/>
    </xf>
    <xf numFmtId="0" fontId="28" fillId="9" borderId="46" xfId="0" applyFont="1" applyFill="1" applyBorder="1" applyAlignment="1">
      <alignment horizontal="left" vertical="center" wrapText="1"/>
    </xf>
    <xf numFmtId="0" fontId="26" fillId="6" borderId="47" xfId="0" applyFont="1" applyFill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26" fillId="0" borderId="39" xfId="0" applyFont="1" applyBorder="1" applyAlignment="1">
      <alignment horizontal="left" vertical="center" wrapText="1"/>
    </xf>
    <xf numFmtId="0" fontId="26" fillId="6" borderId="45" xfId="0" applyFont="1" applyFill="1" applyBorder="1" applyAlignment="1">
      <alignment horizontal="left" vertical="center" wrapText="1"/>
    </xf>
    <xf numFmtId="0" fontId="26" fillId="6" borderId="46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left" vertical="center" wrapText="1"/>
    </xf>
    <xf numFmtId="0" fontId="31" fillId="0" borderId="59" xfId="0" applyFont="1" applyBorder="1" applyAlignment="1">
      <alignment vertical="center"/>
    </xf>
    <xf numFmtId="0" fontId="32" fillId="4" borderId="1" xfId="4" applyFont="1" applyFill="1" applyAlignment="1">
      <alignment horizontal="center" vertical="center" wrapText="1"/>
    </xf>
    <xf numFmtId="0" fontId="32" fillId="3" borderId="1" xfId="4" applyFont="1" applyAlignment="1">
      <alignment wrapText="1"/>
    </xf>
    <xf numFmtId="0" fontId="33" fillId="0" borderId="2" xfId="6" applyFont="1" applyAlignment="1">
      <alignment wrapText="1"/>
    </xf>
    <xf numFmtId="0" fontId="34" fillId="0" borderId="0" xfId="2" applyFont="1" applyBorder="1" applyAlignment="1">
      <alignment wrapText="1"/>
    </xf>
    <xf numFmtId="0" fontId="35" fillId="3" borderId="1" xfId="1" applyFont="1" applyFill="1" applyAlignment="1">
      <alignment wrapText="1"/>
    </xf>
    <xf numFmtId="0" fontId="32" fillId="3" borderId="3" xfId="4" applyFont="1" applyBorder="1" applyAlignment="1">
      <alignment wrapText="1"/>
    </xf>
    <xf numFmtId="0" fontId="34" fillId="0" borderId="3" xfId="2" applyFont="1" applyBorder="1" applyAlignment="1">
      <alignment wrapText="1"/>
    </xf>
    <xf numFmtId="0" fontId="32" fillId="3" borderId="1" xfId="4" applyFont="1"/>
    <xf numFmtId="0" fontId="36" fillId="0" borderId="0" xfId="0" applyFont="1"/>
    <xf numFmtId="0" fontId="37" fillId="0" borderId="0" xfId="0" applyFont="1"/>
    <xf numFmtId="0" fontId="38" fillId="3" borderId="1" xfId="4" applyFont="1"/>
    <xf numFmtId="0" fontId="34" fillId="0" borderId="5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right" vertical="center"/>
    </xf>
    <xf numFmtId="0" fontId="39" fillId="0" borderId="6" xfId="2" applyFont="1" applyBorder="1" applyAlignment="1">
      <alignment horizontal="left" wrapText="1"/>
    </xf>
    <xf numFmtId="0" fontId="38" fillId="3" borderId="1" xfId="4" applyFont="1" applyAlignment="1">
      <alignment horizontal="left" wrapText="1"/>
    </xf>
    <xf numFmtId="0" fontId="7" fillId="10" borderId="9" xfId="0" applyFont="1" applyFill="1" applyBorder="1" applyAlignment="1">
      <alignment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7" fillId="10" borderId="35" xfId="0" applyFont="1" applyFill="1" applyBorder="1" applyAlignment="1">
      <alignment horizontal="justify" vertical="center" wrapText="1"/>
    </xf>
    <xf numFmtId="0" fontId="7" fillId="10" borderId="36" xfId="0" applyFont="1" applyFill="1" applyBorder="1" applyAlignment="1">
      <alignment horizontal="center" vertical="center" wrapText="1"/>
    </xf>
    <xf numFmtId="0" fontId="7" fillId="10" borderId="35" xfId="0" applyFont="1" applyFill="1" applyBorder="1" applyAlignment="1">
      <alignment vertical="center" wrapText="1"/>
    </xf>
    <xf numFmtId="0" fontId="21" fillId="10" borderId="35" xfId="0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41" fillId="0" borderId="0" xfId="0" applyFont="1" applyAlignment="1">
      <alignment wrapText="1"/>
    </xf>
    <xf numFmtId="0" fontId="42" fillId="0" borderId="0" xfId="0" applyFont="1" applyAlignment="1">
      <alignment wrapText="1"/>
    </xf>
    <xf numFmtId="0" fontId="43" fillId="0" borderId="61" xfId="0" applyFont="1" applyBorder="1" applyAlignment="1">
      <alignment horizontal="center" vertical="center" wrapText="1"/>
    </xf>
    <xf numFmtId="0" fontId="43" fillId="0" borderId="63" xfId="0" applyFont="1" applyBorder="1" applyAlignment="1">
      <alignment horizontal="center" vertical="center" wrapText="1"/>
    </xf>
    <xf numFmtId="0" fontId="4" fillId="13" borderId="6" xfId="1" applyFont="1" applyFill="1" applyBorder="1" applyAlignment="1">
      <alignment horizontal="left" vertical="center" wrapText="1"/>
    </xf>
    <xf numFmtId="0" fontId="4" fillId="13" borderId="19" xfId="1" applyFont="1" applyFill="1" applyBorder="1" applyAlignment="1">
      <alignment horizontal="center" vertical="center"/>
    </xf>
    <xf numFmtId="0" fontId="4" fillId="13" borderId="20" xfId="1" applyFont="1" applyFill="1" applyBorder="1" applyAlignment="1">
      <alignment horizontal="right" vertical="center" indent="1"/>
    </xf>
    <xf numFmtId="0" fontId="4" fillId="13" borderId="27" xfId="1" applyFont="1" applyFill="1" applyBorder="1" applyAlignment="1">
      <alignment horizontal="right" vertical="center" indent="1"/>
    </xf>
    <xf numFmtId="0" fontId="4" fillId="3" borderId="1" xfId="4" applyAlignment="1">
      <alignment wrapText="1"/>
    </xf>
    <xf numFmtId="0" fontId="43" fillId="0" borderId="60" xfId="0" applyFont="1" applyBorder="1" applyAlignment="1">
      <alignment horizontal="left" vertical="center" wrapText="1"/>
    </xf>
    <xf numFmtId="0" fontId="43" fillId="0" borderId="62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44" fillId="12" borderId="0" xfId="0" applyFont="1" applyFill="1" applyAlignment="1">
      <alignment vertical="center" wrapText="1"/>
    </xf>
    <xf numFmtId="0" fontId="45" fillId="13" borderId="6" xfId="1" applyFont="1" applyFill="1" applyBorder="1" applyAlignment="1">
      <alignment horizontal="left" vertical="center" wrapText="1"/>
    </xf>
    <xf numFmtId="0" fontId="46" fillId="0" borderId="6" xfId="0" applyFont="1" applyBorder="1" applyAlignment="1">
      <alignment horizontal="left" wrapText="1"/>
    </xf>
    <xf numFmtId="0" fontId="45" fillId="3" borderId="1" xfId="4" applyFont="1" applyAlignment="1">
      <alignment horizontal="left" wrapText="1"/>
    </xf>
    <xf numFmtId="0" fontId="45" fillId="3" borderId="6" xfId="4" applyFont="1" applyBorder="1" applyAlignment="1">
      <alignment horizontal="left" wrapText="1"/>
    </xf>
    <xf numFmtId="0" fontId="47" fillId="2" borderId="6" xfId="3" applyFont="1" applyBorder="1" applyAlignment="1">
      <alignment horizontal="left" wrapText="1"/>
    </xf>
    <xf numFmtId="0" fontId="45" fillId="0" borderId="6" xfId="2" applyFont="1" applyBorder="1" applyAlignment="1">
      <alignment horizontal="left" wrapText="1"/>
    </xf>
    <xf numFmtId="0" fontId="45" fillId="3" borderId="6" xfId="1" applyFont="1" applyFill="1" applyBorder="1" applyAlignment="1">
      <alignment horizontal="left" wrapText="1"/>
    </xf>
    <xf numFmtId="0" fontId="45" fillId="7" borderId="19" xfId="2" applyFont="1" applyFill="1" applyBorder="1" applyAlignment="1">
      <alignment horizontal="center" vertical="center" wrapText="1"/>
    </xf>
    <xf numFmtId="0" fontId="45" fillId="7" borderId="21" xfId="2" applyFont="1" applyFill="1" applyBorder="1" applyAlignment="1">
      <alignment horizontal="center" vertical="center" wrapText="1"/>
    </xf>
    <xf numFmtId="0" fontId="46" fillId="0" borderId="0" xfId="0" applyFont="1" applyAlignment="1">
      <alignment horizontal="left" wrapText="1"/>
    </xf>
    <xf numFmtId="0" fontId="45" fillId="7" borderId="21" xfId="2" applyFont="1" applyFill="1" applyBorder="1" applyAlignment="1">
      <alignment horizontal="center" wrapText="1"/>
    </xf>
    <xf numFmtId="0" fontId="45" fillId="8" borderId="33" xfId="2" applyFont="1" applyFill="1" applyBorder="1" applyAlignment="1">
      <alignment wrapText="1"/>
    </xf>
    <xf numFmtId="0" fontId="45" fillId="0" borderId="7" xfId="2" applyFont="1" applyBorder="1" applyAlignment="1">
      <alignment wrapText="1"/>
    </xf>
    <xf numFmtId="0" fontId="45" fillId="7" borderId="25" xfId="2" applyFont="1" applyFill="1" applyBorder="1" applyAlignment="1">
      <alignment horizontal="center" wrapText="1"/>
    </xf>
    <xf numFmtId="0" fontId="45" fillId="3" borderId="22" xfId="4" applyFont="1" applyBorder="1" applyAlignment="1">
      <alignment horizontal="center" wrapText="1"/>
    </xf>
    <xf numFmtId="0" fontId="45" fillId="8" borderId="32" xfId="4" applyFont="1" applyFill="1" applyBorder="1" applyAlignment="1">
      <alignment wrapText="1"/>
    </xf>
    <xf numFmtId="0" fontId="45" fillId="3" borderId="1" xfId="4" applyFont="1" applyAlignment="1">
      <alignment wrapText="1"/>
    </xf>
    <xf numFmtId="0" fontId="45" fillId="7" borderId="19" xfId="2" applyFont="1" applyFill="1" applyBorder="1" applyAlignment="1">
      <alignment horizontal="center" wrapText="1"/>
    </xf>
    <xf numFmtId="0" fontId="47" fillId="0" borderId="6" xfId="3" applyFont="1" applyFill="1" applyBorder="1" applyAlignment="1">
      <alignment horizontal="left" wrapText="1"/>
    </xf>
    <xf numFmtId="0" fontId="45" fillId="3" borderId="1" xfId="4" applyFont="1" applyAlignment="1">
      <alignment horizontal="left" vertical="center" wrapText="1"/>
    </xf>
    <xf numFmtId="0" fontId="45" fillId="6" borderId="6" xfId="2" applyNumberFormat="1" applyFont="1" applyFill="1" applyBorder="1" applyAlignment="1">
      <alignment horizontal="left" vertical="center" wrapText="1"/>
    </xf>
    <xf numFmtId="0" fontId="45" fillId="6" borderId="6" xfId="2" applyFont="1" applyFill="1" applyBorder="1" applyAlignment="1">
      <alignment horizontal="left" wrapText="1"/>
    </xf>
    <xf numFmtId="0" fontId="46" fillId="11" borderId="1" xfId="9" applyFont="1" applyBorder="1" applyAlignment="1">
      <alignment horizontal="left" wrapText="1"/>
    </xf>
    <xf numFmtId="0" fontId="46" fillId="11" borderId="6" xfId="9" applyFont="1" applyBorder="1" applyAlignment="1">
      <alignment horizontal="left" wrapText="1"/>
    </xf>
    <xf numFmtId="0" fontId="46" fillId="11" borderId="3" xfId="9" applyFont="1" applyBorder="1" applyAlignment="1">
      <alignment horizontal="left" wrapText="1"/>
    </xf>
    <xf numFmtId="0" fontId="46" fillId="11" borderId="6" xfId="9" applyFont="1" applyBorder="1" applyAlignment="1">
      <alignment horizontal="right" wrapText="1"/>
    </xf>
    <xf numFmtId="3" fontId="48" fillId="0" borderId="0" xfId="0" applyNumberFormat="1" applyFont="1" applyAlignment="1">
      <alignment horizontal="right" vertical="center" wrapText="1"/>
    </xf>
    <xf numFmtId="0" fontId="45" fillId="4" borderId="6" xfId="1" applyFont="1" applyFill="1" applyBorder="1" applyAlignment="1">
      <alignment horizontal="left" vertical="center" wrapText="1"/>
    </xf>
    <xf numFmtId="0" fontId="45" fillId="13" borderId="19" xfId="1" applyFont="1" applyFill="1" applyBorder="1" applyAlignment="1">
      <alignment horizontal="center" vertical="center" wrapText="1"/>
    </xf>
    <xf numFmtId="0" fontId="45" fillId="13" borderId="20" xfId="1" applyFont="1" applyFill="1" applyBorder="1" applyAlignment="1">
      <alignment horizontal="right" vertical="center" wrapText="1"/>
    </xf>
    <xf numFmtId="0" fontId="45" fillId="13" borderId="27" xfId="1" applyFont="1" applyFill="1" applyBorder="1" applyAlignment="1">
      <alignment horizontal="right" vertical="center" wrapText="1"/>
    </xf>
    <xf numFmtId="0" fontId="45" fillId="13" borderId="30" xfId="1" applyFont="1" applyFill="1" applyBorder="1" applyAlignment="1">
      <alignment horizontal="right" vertical="center" wrapText="1"/>
    </xf>
    <xf numFmtId="0" fontId="45" fillId="13" borderId="3" xfId="1" applyFont="1" applyFill="1" applyBorder="1" applyAlignment="1">
      <alignment horizontal="center" vertical="center" wrapText="1"/>
    </xf>
    <xf numFmtId="0" fontId="45" fillId="13" borderId="7" xfId="1" applyFont="1" applyFill="1" applyBorder="1" applyAlignment="1">
      <alignment horizontal="center" vertical="center" wrapText="1"/>
    </xf>
    <xf numFmtId="0" fontId="46" fillId="7" borderId="25" xfId="0" applyFont="1" applyFill="1" applyBorder="1" applyAlignment="1">
      <alignment horizontal="center" wrapText="1"/>
    </xf>
    <xf numFmtId="0" fontId="46" fillId="7" borderId="26" xfId="0" applyFont="1" applyFill="1" applyBorder="1" applyAlignment="1">
      <alignment horizontal="right" wrapText="1"/>
    </xf>
    <xf numFmtId="0" fontId="46" fillId="7" borderId="28" xfId="0" applyFont="1" applyFill="1" applyBorder="1" applyAlignment="1">
      <alignment horizontal="right" wrapText="1"/>
    </xf>
    <xf numFmtId="0" fontId="46" fillId="8" borderId="31" xfId="0" applyFont="1" applyFill="1" applyBorder="1" applyAlignment="1">
      <alignment wrapText="1"/>
    </xf>
    <xf numFmtId="0" fontId="46" fillId="0" borderId="0" xfId="0" applyFont="1" applyAlignment="1">
      <alignment wrapText="1"/>
    </xf>
    <xf numFmtId="0" fontId="46" fillId="0" borderId="7" xfId="0" applyFont="1" applyBorder="1" applyAlignment="1">
      <alignment wrapText="1"/>
    </xf>
    <xf numFmtId="0" fontId="46" fillId="0" borderId="3" xfId="0" applyFont="1" applyBorder="1" applyAlignment="1">
      <alignment horizontal="center" vertical="center" wrapText="1"/>
    </xf>
    <xf numFmtId="0" fontId="46" fillId="0" borderId="3" xfId="0" applyFont="1" applyBorder="1" applyAlignment="1">
      <alignment wrapText="1"/>
    </xf>
    <xf numFmtId="0" fontId="45" fillId="3" borderId="0" xfId="4" applyFont="1" applyBorder="1" applyAlignment="1">
      <alignment horizontal="right" wrapText="1"/>
    </xf>
    <xf numFmtId="0" fontId="45" fillId="3" borderId="1" xfId="4" applyFont="1" applyAlignment="1">
      <alignment horizontal="center" vertical="center" wrapText="1"/>
    </xf>
    <xf numFmtId="0" fontId="46" fillId="7" borderId="19" xfId="0" applyFont="1" applyFill="1" applyBorder="1" applyAlignment="1">
      <alignment horizontal="center" wrapText="1"/>
    </xf>
    <xf numFmtId="0" fontId="46" fillId="7" borderId="20" xfId="0" applyFont="1" applyFill="1" applyBorder="1" applyAlignment="1">
      <alignment horizontal="right" wrapText="1"/>
    </xf>
    <xf numFmtId="0" fontId="46" fillId="7" borderId="27" xfId="0" applyFont="1" applyFill="1" applyBorder="1" applyAlignment="1">
      <alignment horizontal="right" wrapText="1"/>
    </xf>
    <xf numFmtId="0" fontId="46" fillId="8" borderId="33" xfId="0" applyFont="1" applyFill="1" applyBorder="1" applyAlignment="1">
      <alignment wrapText="1"/>
    </xf>
    <xf numFmtId="0" fontId="46" fillId="7" borderId="21" xfId="0" applyFont="1" applyFill="1" applyBorder="1" applyAlignment="1">
      <alignment horizontal="center" wrapText="1"/>
    </xf>
    <xf numFmtId="0" fontId="46" fillId="7" borderId="3" xfId="0" applyFont="1" applyFill="1" applyBorder="1" applyAlignment="1">
      <alignment horizontal="right" wrapText="1"/>
    </xf>
    <xf numFmtId="0" fontId="46" fillId="7" borderId="6" xfId="0" applyFont="1" applyFill="1" applyBorder="1" applyAlignment="1">
      <alignment horizontal="right" wrapText="1"/>
    </xf>
    <xf numFmtId="0" fontId="45" fillId="3" borderId="24" xfId="4" applyFont="1" applyBorder="1" applyAlignment="1">
      <alignment horizontal="center" vertical="center" wrapText="1"/>
    </xf>
    <xf numFmtId="0" fontId="45" fillId="3" borderId="10" xfId="4" applyFont="1" applyBorder="1" applyAlignment="1">
      <alignment horizontal="right" vertical="center" wrapText="1"/>
    </xf>
    <xf numFmtId="0" fontId="45" fillId="3" borderId="29" xfId="4" applyFont="1" applyBorder="1" applyAlignment="1">
      <alignment horizontal="right" vertical="center" wrapText="1"/>
    </xf>
    <xf numFmtId="0" fontId="45" fillId="8" borderId="33" xfId="4" applyFont="1" applyFill="1" applyBorder="1" applyAlignment="1">
      <alignment horizontal="right" vertical="center" wrapText="1"/>
    </xf>
    <xf numFmtId="0" fontId="45" fillId="3" borderId="3" xfId="4" applyFont="1" applyBorder="1" applyAlignment="1">
      <alignment wrapText="1"/>
    </xf>
    <xf numFmtId="0" fontId="45" fillId="3" borderId="7" xfId="4" applyFont="1" applyBorder="1" applyAlignment="1">
      <alignment wrapText="1"/>
    </xf>
    <xf numFmtId="0" fontId="45" fillId="3" borderId="3" xfId="4" applyFont="1" applyBorder="1" applyAlignment="1">
      <alignment horizontal="center" vertical="center" wrapText="1"/>
    </xf>
    <xf numFmtId="0" fontId="47" fillId="7" borderId="19" xfId="3" applyFont="1" applyFill="1" applyBorder="1" applyAlignment="1">
      <alignment horizontal="center" vertical="center" wrapText="1"/>
    </xf>
    <xf numFmtId="0" fontId="47" fillId="7" borderId="20" xfId="3" applyNumberFormat="1" applyFont="1" applyFill="1" applyBorder="1" applyAlignment="1">
      <alignment horizontal="right" vertical="center" wrapText="1"/>
    </xf>
    <xf numFmtId="0" fontId="47" fillId="7" borderId="27" xfId="3" applyNumberFormat="1" applyFont="1" applyFill="1" applyBorder="1" applyAlignment="1">
      <alignment horizontal="right" vertical="center" wrapText="1"/>
    </xf>
    <xf numFmtId="0" fontId="47" fillId="8" borderId="33" xfId="3" applyNumberFormat="1" applyFont="1" applyFill="1" applyBorder="1" applyAlignment="1">
      <alignment horizontal="right" vertical="center" wrapText="1"/>
    </xf>
    <xf numFmtId="0" fontId="47" fillId="7" borderId="21" xfId="3" applyFont="1" applyFill="1" applyBorder="1" applyAlignment="1">
      <alignment horizontal="center" vertical="center" wrapText="1"/>
    </xf>
    <xf numFmtId="0" fontId="47" fillId="7" borderId="3" xfId="3" applyNumberFormat="1" applyFont="1" applyFill="1" applyBorder="1" applyAlignment="1">
      <alignment horizontal="right" vertical="center" wrapText="1"/>
    </xf>
    <xf numFmtId="0" fontId="47" fillId="7" borderId="6" xfId="3" applyNumberFormat="1" applyFont="1" applyFill="1" applyBorder="1" applyAlignment="1">
      <alignment horizontal="right" vertical="center" wrapText="1"/>
    </xf>
    <xf numFmtId="0" fontId="47" fillId="7" borderId="25" xfId="3" applyFont="1" applyFill="1" applyBorder="1" applyAlignment="1">
      <alignment horizontal="center" vertical="center" wrapText="1"/>
    </xf>
    <xf numFmtId="0" fontId="47" fillId="7" borderId="26" xfId="3" applyNumberFormat="1" applyFont="1" applyFill="1" applyBorder="1" applyAlignment="1">
      <alignment horizontal="right" vertical="center" wrapText="1"/>
    </xf>
    <xf numFmtId="0" fontId="47" fillId="7" borderId="28" xfId="3" applyNumberFormat="1" applyFont="1" applyFill="1" applyBorder="1" applyAlignment="1">
      <alignment horizontal="right" vertical="center" wrapText="1"/>
    </xf>
    <xf numFmtId="0" fontId="47" fillId="2" borderId="3" xfId="3" applyFont="1" applyBorder="1" applyAlignment="1">
      <alignment wrapText="1"/>
    </xf>
    <xf numFmtId="0" fontId="47" fillId="2" borderId="7" xfId="3" applyFont="1" applyBorder="1" applyAlignment="1">
      <alignment wrapText="1"/>
    </xf>
    <xf numFmtId="0" fontId="47" fillId="2" borderId="3" xfId="3" applyFont="1" applyBorder="1" applyAlignment="1">
      <alignment horizontal="center" vertical="center" wrapText="1"/>
    </xf>
    <xf numFmtId="0" fontId="45" fillId="7" borderId="25" xfId="2" applyFont="1" applyFill="1" applyBorder="1" applyAlignment="1">
      <alignment horizontal="center" vertical="center" wrapText="1"/>
    </xf>
    <xf numFmtId="0" fontId="45" fillId="7" borderId="26" xfId="2" applyNumberFormat="1" applyFont="1" applyFill="1" applyBorder="1" applyAlignment="1">
      <alignment horizontal="right" vertical="center" wrapText="1"/>
    </xf>
    <xf numFmtId="0" fontId="45" fillId="7" borderId="28" xfId="2" applyNumberFormat="1" applyFont="1" applyFill="1" applyBorder="1" applyAlignment="1">
      <alignment horizontal="right" vertical="center" wrapText="1"/>
    </xf>
    <xf numFmtId="0" fontId="45" fillId="8" borderId="33" xfId="2" applyNumberFormat="1" applyFont="1" applyFill="1" applyBorder="1" applyAlignment="1">
      <alignment horizontal="right" vertical="center" wrapText="1"/>
    </xf>
    <xf numFmtId="0" fontId="45" fillId="3" borderId="24" xfId="1" applyFont="1" applyFill="1" applyBorder="1" applyAlignment="1">
      <alignment horizontal="center" vertical="center" wrapText="1"/>
    </xf>
    <xf numFmtId="0" fontId="45" fillId="3" borderId="10" xfId="1" applyNumberFormat="1" applyFont="1" applyFill="1" applyBorder="1" applyAlignment="1">
      <alignment horizontal="right" vertical="center" wrapText="1"/>
    </xf>
    <xf numFmtId="0" fontId="45" fillId="3" borderId="29" xfId="1" applyNumberFormat="1" applyFont="1" applyFill="1" applyBorder="1" applyAlignment="1">
      <alignment horizontal="right" vertical="center" wrapText="1"/>
    </xf>
    <xf numFmtId="0" fontId="45" fillId="8" borderId="33" xfId="1" applyNumberFormat="1" applyFont="1" applyFill="1" applyBorder="1" applyAlignment="1">
      <alignment horizontal="right" vertical="center" wrapText="1"/>
    </xf>
    <xf numFmtId="0" fontId="45" fillId="3" borderId="3" xfId="1" applyFont="1" applyFill="1" applyBorder="1" applyAlignment="1">
      <alignment wrapText="1"/>
    </xf>
    <xf numFmtId="0" fontId="45" fillId="3" borderId="7" xfId="1" applyFont="1" applyFill="1" applyBorder="1" applyAlignment="1">
      <alignment wrapText="1"/>
    </xf>
    <xf numFmtId="0" fontId="45" fillId="3" borderId="3" xfId="1" applyFont="1" applyFill="1" applyBorder="1" applyAlignment="1">
      <alignment horizontal="center" vertical="center" wrapText="1"/>
    </xf>
    <xf numFmtId="0" fontId="45" fillId="7" borderId="3" xfId="2" applyNumberFormat="1" applyFont="1" applyFill="1" applyBorder="1" applyAlignment="1">
      <alignment horizontal="right" vertical="center" wrapText="1"/>
    </xf>
    <xf numFmtId="0" fontId="45" fillId="7" borderId="6" xfId="2" applyNumberFormat="1" applyFont="1" applyFill="1" applyBorder="1" applyAlignment="1">
      <alignment horizontal="right" vertical="center" wrapText="1"/>
    </xf>
    <xf numFmtId="0" fontId="45" fillId="7" borderId="20" xfId="2" applyFont="1" applyFill="1" applyBorder="1" applyAlignment="1">
      <alignment horizontal="right" vertical="center" wrapText="1"/>
    </xf>
    <xf numFmtId="0" fontId="45" fillId="7" borderId="27" xfId="2" applyFont="1" applyFill="1" applyBorder="1" applyAlignment="1">
      <alignment horizontal="right" vertical="center" wrapText="1"/>
    </xf>
    <xf numFmtId="0" fontId="45" fillId="7" borderId="3" xfId="2" applyFont="1" applyFill="1" applyBorder="1" applyAlignment="1">
      <alignment horizontal="right" vertical="center" wrapText="1"/>
    </xf>
    <xf numFmtId="0" fontId="45" fillId="7" borderId="6" xfId="2" applyFont="1" applyFill="1" applyBorder="1" applyAlignment="1">
      <alignment horizontal="right" vertical="center" wrapText="1"/>
    </xf>
    <xf numFmtId="0" fontId="45" fillId="7" borderId="20" xfId="2" applyNumberFormat="1" applyFont="1" applyFill="1" applyBorder="1" applyAlignment="1">
      <alignment horizontal="right" vertical="center" wrapText="1"/>
    </xf>
    <xf numFmtId="0" fontId="45" fillId="7" borderId="27" xfId="2" applyNumberFormat="1" applyFont="1" applyFill="1" applyBorder="1" applyAlignment="1">
      <alignment horizontal="right" vertical="center" wrapText="1"/>
    </xf>
    <xf numFmtId="0" fontId="45" fillId="7" borderId="21" xfId="2" applyNumberFormat="1" applyFont="1" applyFill="1" applyBorder="1" applyAlignment="1">
      <alignment horizontal="center" vertical="center" wrapText="1"/>
    </xf>
    <xf numFmtId="0" fontId="45" fillId="3" borderId="22" xfId="4" applyFont="1" applyBorder="1" applyAlignment="1">
      <alignment horizontal="center" vertical="center" wrapText="1"/>
    </xf>
    <xf numFmtId="0" fontId="45" fillId="3" borderId="0" xfId="4" applyFont="1" applyBorder="1" applyAlignment="1">
      <alignment horizontal="right" vertical="center" wrapText="1"/>
    </xf>
    <xf numFmtId="0" fontId="45" fillId="8" borderId="32" xfId="4" applyFont="1" applyFill="1" applyBorder="1" applyAlignment="1">
      <alignment horizontal="right" vertical="center" wrapText="1"/>
    </xf>
    <xf numFmtId="0" fontId="45" fillId="7" borderId="3" xfId="2" applyFont="1" applyFill="1" applyBorder="1" applyAlignment="1">
      <alignment horizontal="right" wrapText="1"/>
    </xf>
    <xf numFmtId="0" fontId="45" fillId="7" borderId="6" xfId="2" applyFont="1" applyFill="1" applyBorder="1" applyAlignment="1">
      <alignment horizontal="right" wrapText="1"/>
    </xf>
    <xf numFmtId="0" fontId="45" fillId="7" borderId="26" xfId="2" applyFont="1" applyFill="1" applyBorder="1" applyAlignment="1">
      <alignment horizontal="right" wrapText="1"/>
    </xf>
    <xf numFmtId="0" fontId="45" fillId="7" borderId="28" xfId="2" applyFont="1" applyFill="1" applyBorder="1" applyAlignment="1">
      <alignment horizontal="right" wrapText="1"/>
    </xf>
    <xf numFmtId="0" fontId="45" fillId="7" borderId="20" xfId="2" applyFont="1" applyFill="1" applyBorder="1" applyAlignment="1">
      <alignment horizontal="right" wrapText="1"/>
    </xf>
    <xf numFmtId="0" fontId="45" fillId="7" borderId="19" xfId="2" applyNumberFormat="1" applyFont="1" applyFill="1" applyBorder="1" applyAlignment="1">
      <alignment horizontal="center" vertical="center" wrapText="1"/>
    </xf>
    <xf numFmtId="0" fontId="47" fillId="0" borderId="3" xfId="3" applyFont="1" applyFill="1" applyBorder="1" applyAlignment="1">
      <alignment wrapText="1"/>
    </xf>
    <xf numFmtId="0" fontId="47" fillId="0" borderId="7" xfId="3" applyFont="1" applyFill="1" applyBorder="1" applyAlignment="1">
      <alignment wrapText="1"/>
    </xf>
    <xf numFmtId="0" fontId="47" fillId="0" borderId="3" xfId="3" applyFont="1" applyFill="1" applyBorder="1" applyAlignment="1">
      <alignment horizontal="center" vertical="center" wrapText="1"/>
    </xf>
    <xf numFmtId="0" fontId="46" fillId="0" borderId="13" xfId="0" applyFont="1" applyBorder="1" applyAlignment="1">
      <alignment wrapText="1"/>
    </xf>
    <xf numFmtId="0" fontId="46" fillId="0" borderId="8" xfId="0" applyFont="1" applyBorder="1" applyAlignment="1">
      <alignment horizontal="center" vertical="center" wrapText="1"/>
    </xf>
    <xf numFmtId="0" fontId="46" fillId="0" borderId="8" xfId="0" applyFont="1" applyBorder="1" applyAlignment="1">
      <alignment wrapText="1"/>
    </xf>
    <xf numFmtId="0" fontId="46" fillId="6" borderId="3" xfId="0" applyFont="1" applyFill="1" applyBorder="1" applyAlignment="1">
      <alignment wrapText="1"/>
    </xf>
    <xf numFmtId="0" fontId="46" fillId="6" borderId="7" xfId="0" applyFont="1" applyFill="1" applyBorder="1" applyAlignment="1">
      <alignment wrapText="1"/>
    </xf>
    <xf numFmtId="0" fontId="46" fillId="6" borderId="3" xfId="0" applyFont="1" applyFill="1" applyBorder="1" applyAlignment="1">
      <alignment horizontal="center" vertical="center" wrapText="1"/>
    </xf>
    <xf numFmtId="16" fontId="45" fillId="3" borderId="22" xfId="4" applyNumberFormat="1" applyFont="1" applyBorder="1" applyAlignment="1">
      <alignment horizontal="center" vertical="center" wrapText="1"/>
    </xf>
    <xf numFmtId="0" fontId="45" fillId="6" borderId="3" xfId="8" applyFont="1" applyAlignment="1">
      <alignment horizontal="left" vertical="center" wrapText="1"/>
    </xf>
    <xf numFmtId="0" fontId="45" fillId="6" borderId="3" xfId="8" applyFont="1" applyAlignment="1">
      <alignment horizontal="center" vertical="center" wrapText="1"/>
    </xf>
    <xf numFmtId="0" fontId="45" fillId="6" borderId="3" xfId="8" applyFont="1" applyAlignment="1">
      <alignment horizontal="right" vertical="center" wrapText="1"/>
    </xf>
    <xf numFmtId="0" fontId="46" fillId="0" borderId="11" xfId="0" applyFont="1" applyBorder="1" applyAlignment="1">
      <alignment vertical="center" wrapText="1"/>
    </xf>
    <xf numFmtId="0" fontId="46" fillId="0" borderId="6" xfId="0" applyFont="1" applyBorder="1" applyAlignment="1">
      <alignment wrapText="1"/>
    </xf>
    <xf numFmtId="0" fontId="45" fillId="8" borderId="34" xfId="5" applyFont="1" applyFill="1" applyBorder="1" applyAlignment="1">
      <alignment horizontal="right" vertical="center" wrapText="1"/>
    </xf>
    <xf numFmtId="0" fontId="46" fillId="11" borderId="22" xfId="9" applyFont="1" applyBorder="1" applyAlignment="1">
      <alignment horizontal="center" vertical="center" wrapText="1"/>
    </xf>
    <xf numFmtId="0" fontId="46" fillId="11" borderId="0" xfId="9" applyFont="1" applyBorder="1" applyAlignment="1">
      <alignment horizontal="right" vertical="center" wrapText="1"/>
    </xf>
    <xf numFmtId="0" fontId="46" fillId="11" borderId="32" xfId="9" applyFont="1" applyBorder="1" applyAlignment="1">
      <alignment horizontal="right" vertical="center" wrapText="1"/>
    </xf>
    <xf numFmtId="0" fontId="46" fillId="11" borderId="1" xfId="9" applyFont="1" applyBorder="1" applyAlignment="1">
      <alignment wrapText="1"/>
    </xf>
    <xf numFmtId="0" fontId="46" fillId="11" borderId="1" xfId="9" applyFont="1" applyBorder="1" applyAlignment="1">
      <alignment horizontal="center" vertical="center" wrapText="1"/>
    </xf>
    <xf numFmtId="0" fontId="46" fillId="11" borderId="19" xfId="9" applyFont="1" applyBorder="1" applyAlignment="1">
      <alignment horizontal="center" vertical="center" wrapText="1"/>
    </xf>
    <xf numFmtId="0" fontId="46" fillId="11" borderId="20" xfId="9" applyNumberFormat="1" applyFont="1" applyBorder="1" applyAlignment="1">
      <alignment horizontal="right" vertical="center" wrapText="1"/>
    </xf>
    <xf numFmtId="0" fontId="46" fillId="11" borderId="27" xfId="9" applyNumberFormat="1" applyFont="1" applyBorder="1" applyAlignment="1">
      <alignment horizontal="right" vertical="center" wrapText="1"/>
    </xf>
    <xf numFmtId="0" fontId="46" fillId="11" borderId="33" xfId="9" applyNumberFormat="1" applyFont="1" applyBorder="1" applyAlignment="1">
      <alignment horizontal="right" vertical="center" wrapText="1"/>
    </xf>
    <xf numFmtId="0" fontId="46" fillId="11" borderId="3" xfId="9" applyFont="1" applyBorder="1" applyAlignment="1">
      <alignment wrapText="1"/>
    </xf>
    <xf numFmtId="0" fontId="46" fillId="11" borderId="7" xfId="9" applyFont="1" applyBorder="1" applyAlignment="1">
      <alignment wrapText="1"/>
    </xf>
    <xf numFmtId="0" fontId="46" fillId="11" borderId="3" xfId="9" applyFont="1" applyBorder="1" applyAlignment="1">
      <alignment horizontal="center" vertical="center" wrapText="1"/>
    </xf>
    <xf numFmtId="0" fontId="46" fillId="11" borderId="21" xfId="9" applyFont="1" applyBorder="1" applyAlignment="1">
      <alignment horizontal="center" vertical="center" wrapText="1"/>
    </xf>
    <xf numFmtId="0" fontId="46" fillId="11" borderId="6" xfId="9" applyNumberFormat="1" applyFont="1" applyBorder="1" applyAlignment="1">
      <alignment horizontal="right" vertical="center" wrapText="1"/>
    </xf>
    <xf numFmtId="0" fontId="46" fillId="11" borderId="59" xfId="9" applyFont="1" applyBorder="1" applyAlignment="1">
      <alignment vertical="center" wrapText="1"/>
    </xf>
    <xf numFmtId="0" fontId="46" fillId="11" borderId="3" xfId="9" applyNumberFormat="1" applyFont="1" applyBorder="1" applyAlignment="1">
      <alignment horizontal="right" vertical="center" wrapText="1"/>
    </xf>
    <xf numFmtId="0" fontId="46" fillId="11" borderId="25" xfId="9" applyFont="1" applyBorder="1" applyAlignment="1">
      <alignment horizontal="center" vertical="center" wrapText="1"/>
    </xf>
    <xf numFmtId="0" fontId="46" fillId="11" borderId="26" xfId="9" applyNumberFormat="1" applyFont="1" applyBorder="1" applyAlignment="1">
      <alignment horizontal="right" vertical="center" wrapText="1"/>
    </xf>
    <xf numFmtId="0" fontId="46" fillId="11" borderId="28" xfId="9" applyNumberFormat="1" applyFont="1" applyBorder="1" applyAlignment="1">
      <alignment horizontal="right" vertical="center" wrapText="1"/>
    </xf>
    <xf numFmtId="0" fontId="46" fillId="11" borderId="1" xfId="9" applyFont="1" applyBorder="1" applyAlignment="1">
      <alignment horizontal="right" vertical="center" wrapText="1"/>
    </xf>
    <xf numFmtId="0" fontId="46" fillId="11" borderId="3" xfId="9" applyFont="1" applyBorder="1" applyAlignment="1">
      <alignment horizontal="right" vertical="center" wrapText="1"/>
    </xf>
    <xf numFmtId="16" fontId="46" fillId="11" borderId="1" xfId="9" applyNumberFormat="1" applyFont="1" applyBorder="1" applyAlignment="1">
      <alignment horizontal="center" vertical="center" wrapText="1"/>
    </xf>
    <xf numFmtId="0" fontId="45" fillId="3" borderId="1" xfId="4" applyFont="1" applyAlignment="1">
      <alignment horizontal="right" vertical="center" wrapText="1"/>
    </xf>
    <xf numFmtId="0" fontId="45" fillId="7" borderId="23" xfId="2" applyFont="1" applyFill="1" applyBorder="1" applyAlignment="1">
      <alignment horizontal="center" vertical="center" wrapText="1"/>
    </xf>
    <xf numFmtId="0" fontId="45" fillId="7" borderId="8" xfId="2" applyNumberFormat="1" applyFont="1" applyFill="1" applyBorder="1" applyAlignment="1">
      <alignment horizontal="right" vertical="center" wrapText="1"/>
    </xf>
    <xf numFmtId="3" fontId="45" fillId="7" borderId="3" xfId="2" applyNumberFormat="1" applyFont="1" applyFill="1" applyBorder="1" applyAlignment="1">
      <alignment horizontal="right" vertical="center" wrapText="1"/>
    </xf>
    <xf numFmtId="3" fontId="45" fillId="7" borderId="6" xfId="2" applyNumberFormat="1" applyFont="1" applyFill="1" applyBorder="1" applyAlignment="1">
      <alignment horizontal="right" vertical="center" wrapText="1"/>
    </xf>
    <xf numFmtId="0" fontId="45" fillId="7" borderId="19" xfId="1" applyFont="1" applyFill="1" applyBorder="1" applyAlignment="1">
      <alignment horizontal="center" vertical="center" wrapText="1"/>
    </xf>
    <xf numFmtId="0" fontId="45" fillId="7" borderId="20" xfId="1" applyFont="1" applyFill="1" applyBorder="1" applyAlignment="1">
      <alignment horizontal="right" vertical="center" wrapText="1"/>
    </xf>
    <xf numFmtId="0" fontId="45" fillId="7" borderId="27" xfId="1" applyFont="1" applyFill="1" applyBorder="1" applyAlignment="1">
      <alignment horizontal="right" vertical="center" wrapText="1"/>
    </xf>
    <xf numFmtId="0" fontId="45" fillId="14" borderId="3" xfId="2" applyNumberFormat="1" applyFont="1" applyFill="1" applyBorder="1" applyAlignment="1">
      <alignment horizontal="right" vertical="center" wrapText="1"/>
    </xf>
    <xf numFmtId="0" fontId="4" fillId="3" borderId="1" xfId="4" applyAlignment="1">
      <alignment horizontal="center" vertical="center" wrapText="1"/>
    </xf>
    <xf numFmtId="0" fontId="4" fillId="3" borderId="1" xfId="4" applyAlignment="1">
      <alignment horizontal="right" vertical="center" wrapText="1"/>
    </xf>
    <xf numFmtId="0" fontId="49" fillId="0" borderId="64" xfId="0" applyFont="1" applyBorder="1" applyAlignment="1">
      <alignment horizontal="left" wrapText="1"/>
    </xf>
    <xf numFmtId="0" fontId="49" fillId="15" borderId="65" xfId="0" applyFont="1" applyFill="1" applyBorder="1" applyAlignment="1">
      <alignment horizontal="center" vertical="center" wrapText="1"/>
    </xf>
    <xf numFmtId="0" fontId="49" fillId="15" borderId="66" xfId="0" applyFont="1" applyFill="1" applyBorder="1" applyAlignment="1">
      <alignment horizontal="right" vertical="center" wrapText="1"/>
    </xf>
    <xf numFmtId="0" fontId="46" fillId="11" borderId="8" xfId="9" applyFont="1" applyBorder="1" applyAlignment="1">
      <alignment horizontal="center" vertical="center" wrapText="1"/>
    </xf>
    <xf numFmtId="0" fontId="46" fillId="11" borderId="11" xfId="9" applyFont="1" applyBorder="1" applyAlignment="1">
      <alignment horizontal="center" vertical="center" wrapText="1"/>
    </xf>
    <xf numFmtId="17" fontId="46" fillId="0" borderId="14" xfId="0" applyNumberFormat="1" applyFont="1" applyBorder="1" applyAlignment="1">
      <alignment horizontal="center" textRotation="255" wrapText="1"/>
    </xf>
    <xf numFmtId="0" fontId="46" fillId="0" borderId="15" xfId="0" applyNumberFormat="1" applyFont="1" applyBorder="1" applyAlignment="1">
      <alignment horizontal="center" textRotation="255" wrapText="1"/>
    </xf>
    <xf numFmtId="0" fontId="46" fillId="0" borderId="16" xfId="0" applyNumberFormat="1" applyFont="1" applyBorder="1" applyAlignment="1">
      <alignment horizontal="center" textRotation="255" wrapText="1"/>
    </xf>
    <xf numFmtId="0" fontId="7" fillId="12" borderId="0" xfId="0" applyFont="1" applyFill="1" applyAlignment="1">
      <alignment horizontal="center" vertical="center" wrapText="1"/>
    </xf>
  </cellXfs>
  <cellStyles count="10">
    <cellStyle name="20% — акцент6" xfId="9" builtinId="50"/>
    <cellStyle name="60% — акцент6" xfId="7" builtinId="52"/>
    <cellStyle name="Заголовок 1" xfId="1" builtinId="16"/>
    <cellStyle name="Заголовок 2" xfId="6" builtinId="17"/>
    <cellStyle name="Заголовок 4" xfId="2" builtinId="19"/>
    <cellStyle name="Обычный" xfId="0" builtinId="0"/>
    <cellStyle name="ОПЛАЧЕНО" xfId="8" xr:uid="{2AF8ACEF-3660-4CD9-A737-AB680F655E36}"/>
    <cellStyle name="Срочка Организация" xfId="4" xr:uid="{1F1DBAD8-DCAC-48CB-9C2C-A7D270883695}"/>
    <cellStyle name="Хороший" xfId="3" builtinId="26" customBuiltin="1"/>
    <cellStyle name="Циферки" xfId="5" xr:uid="{DC0D93D5-0434-4373-A701-D52EF5F1F5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1045152</xdr:colOff>
          <xdr:row>519</xdr:row>
          <xdr:rowOff>0</xdr:rowOff>
        </xdr:from>
        <xdr:to>
          <xdr:col>2</xdr:col>
          <xdr:colOff>131618</xdr:colOff>
          <xdr:row>519</xdr:row>
          <xdr:rowOff>219075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1141268</xdr:colOff>
          <xdr:row>519</xdr:row>
          <xdr:rowOff>0</xdr:rowOff>
        </xdr:from>
        <xdr:to>
          <xdr:col>3</xdr:col>
          <xdr:colOff>106507</xdr:colOff>
          <xdr:row>519</xdr:row>
          <xdr:rowOff>219075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1045152</xdr:colOff>
          <xdr:row>519</xdr:row>
          <xdr:rowOff>0</xdr:rowOff>
        </xdr:from>
        <xdr:to>
          <xdr:col>2</xdr:col>
          <xdr:colOff>131618</xdr:colOff>
          <xdr:row>519</xdr:row>
          <xdr:rowOff>219075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1141268</xdr:colOff>
          <xdr:row>519</xdr:row>
          <xdr:rowOff>0</xdr:rowOff>
        </xdr:from>
        <xdr:to>
          <xdr:col>3</xdr:col>
          <xdr:colOff>106507</xdr:colOff>
          <xdr:row>519</xdr:row>
          <xdr:rowOff>219075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1045152</xdr:colOff>
          <xdr:row>519</xdr:row>
          <xdr:rowOff>0</xdr:rowOff>
        </xdr:from>
        <xdr:to>
          <xdr:col>2</xdr:col>
          <xdr:colOff>131618</xdr:colOff>
          <xdr:row>519</xdr:row>
          <xdr:rowOff>219075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1141268</xdr:colOff>
          <xdr:row>519</xdr:row>
          <xdr:rowOff>0</xdr:rowOff>
        </xdr:from>
        <xdr:to>
          <xdr:col>3</xdr:col>
          <xdr:colOff>106507</xdr:colOff>
          <xdr:row>519</xdr:row>
          <xdr:rowOff>219075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1045152</xdr:colOff>
          <xdr:row>519</xdr:row>
          <xdr:rowOff>0</xdr:rowOff>
        </xdr:from>
        <xdr:to>
          <xdr:col>2</xdr:col>
          <xdr:colOff>131618</xdr:colOff>
          <xdr:row>519</xdr:row>
          <xdr:rowOff>219075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1141268</xdr:colOff>
          <xdr:row>519</xdr:row>
          <xdr:rowOff>0</xdr:rowOff>
        </xdr:from>
        <xdr:to>
          <xdr:col>3</xdr:col>
          <xdr:colOff>106507</xdr:colOff>
          <xdr:row>519</xdr:row>
          <xdr:rowOff>219075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1045152</xdr:colOff>
          <xdr:row>519</xdr:row>
          <xdr:rowOff>0</xdr:rowOff>
        </xdr:from>
        <xdr:to>
          <xdr:col>2</xdr:col>
          <xdr:colOff>131618</xdr:colOff>
          <xdr:row>519</xdr:row>
          <xdr:rowOff>219075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1141268</xdr:colOff>
          <xdr:row>519</xdr:row>
          <xdr:rowOff>0</xdr:rowOff>
        </xdr:from>
        <xdr:to>
          <xdr:col>3</xdr:col>
          <xdr:colOff>106507</xdr:colOff>
          <xdr:row>519</xdr:row>
          <xdr:rowOff>219075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1045152</xdr:colOff>
          <xdr:row>519</xdr:row>
          <xdr:rowOff>0</xdr:rowOff>
        </xdr:from>
        <xdr:to>
          <xdr:col>2</xdr:col>
          <xdr:colOff>131618</xdr:colOff>
          <xdr:row>519</xdr:row>
          <xdr:rowOff>219075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1141268</xdr:colOff>
          <xdr:row>519</xdr:row>
          <xdr:rowOff>0</xdr:rowOff>
        </xdr:from>
        <xdr:to>
          <xdr:col>3</xdr:col>
          <xdr:colOff>106507</xdr:colOff>
          <xdr:row>519</xdr:row>
          <xdr:rowOff>219075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1045152</xdr:colOff>
          <xdr:row>519</xdr:row>
          <xdr:rowOff>0</xdr:rowOff>
        </xdr:from>
        <xdr:to>
          <xdr:col>2</xdr:col>
          <xdr:colOff>131618</xdr:colOff>
          <xdr:row>519</xdr:row>
          <xdr:rowOff>219075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1141268</xdr:colOff>
          <xdr:row>519</xdr:row>
          <xdr:rowOff>0</xdr:rowOff>
        </xdr:from>
        <xdr:to>
          <xdr:col>3</xdr:col>
          <xdr:colOff>106507</xdr:colOff>
          <xdr:row>519</xdr:row>
          <xdr:rowOff>219075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1045152</xdr:colOff>
          <xdr:row>519</xdr:row>
          <xdr:rowOff>0</xdr:rowOff>
        </xdr:from>
        <xdr:to>
          <xdr:col>2</xdr:col>
          <xdr:colOff>131618</xdr:colOff>
          <xdr:row>519</xdr:row>
          <xdr:rowOff>219075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1141268</xdr:colOff>
          <xdr:row>519</xdr:row>
          <xdr:rowOff>0</xdr:rowOff>
        </xdr:from>
        <xdr:to>
          <xdr:col>3</xdr:col>
          <xdr:colOff>106507</xdr:colOff>
          <xdr:row>519</xdr:row>
          <xdr:rowOff>219075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1045152</xdr:colOff>
          <xdr:row>519</xdr:row>
          <xdr:rowOff>0</xdr:rowOff>
        </xdr:from>
        <xdr:to>
          <xdr:col>2</xdr:col>
          <xdr:colOff>131618</xdr:colOff>
          <xdr:row>519</xdr:row>
          <xdr:rowOff>219075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1141268</xdr:colOff>
          <xdr:row>519</xdr:row>
          <xdr:rowOff>0</xdr:rowOff>
        </xdr:from>
        <xdr:to>
          <xdr:col>3</xdr:col>
          <xdr:colOff>106507</xdr:colOff>
          <xdr:row>519</xdr:row>
          <xdr:rowOff>219075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1045152</xdr:colOff>
          <xdr:row>519</xdr:row>
          <xdr:rowOff>0</xdr:rowOff>
        </xdr:from>
        <xdr:to>
          <xdr:col>2</xdr:col>
          <xdr:colOff>131618</xdr:colOff>
          <xdr:row>519</xdr:row>
          <xdr:rowOff>219075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1141268</xdr:colOff>
          <xdr:row>519</xdr:row>
          <xdr:rowOff>0</xdr:rowOff>
        </xdr:from>
        <xdr:to>
          <xdr:col>3</xdr:col>
          <xdr:colOff>106507</xdr:colOff>
          <xdr:row>519</xdr:row>
          <xdr:rowOff>219075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1045152</xdr:colOff>
          <xdr:row>519</xdr:row>
          <xdr:rowOff>0</xdr:rowOff>
        </xdr:from>
        <xdr:to>
          <xdr:col>2</xdr:col>
          <xdr:colOff>131618</xdr:colOff>
          <xdr:row>519</xdr:row>
          <xdr:rowOff>219075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1141268</xdr:colOff>
          <xdr:row>519</xdr:row>
          <xdr:rowOff>0</xdr:rowOff>
        </xdr:from>
        <xdr:to>
          <xdr:col>3</xdr:col>
          <xdr:colOff>106507</xdr:colOff>
          <xdr:row>519</xdr:row>
          <xdr:rowOff>219075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1045152</xdr:colOff>
          <xdr:row>519</xdr:row>
          <xdr:rowOff>0</xdr:rowOff>
        </xdr:from>
        <xdr:to>
          <xdr:col>2</xdr:col>
          <xdr:colOff>131618</xdr:colOff>
          <xdr:row>519</xdr:row>
          <xdr:rowOff>219075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1141268</xdr:colOff>
          <xdr:row>519</xdr:row>
          <xdr:rowOff>0</xdr:rowOff>
        </xdr:from>
        <xdr:to>
          <xdr:col>3</xdr:col>
          <xdr:colOff>106507</xdr:colOff>
          <xdr:row>519</xdr:row>
          <xdr:rowOff>219075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ontrol" Target="../activeX/activeX8.xml"/><Relationship Id="rId18" Type="http://schemas.openxmlformats.org/officeDocument/2006/relationships/control" Target="../activeX/activeX13.xml"/><Relationship Id="rId26" Type="http://schemas.openxmlformats.org/officeDocument/2006/relationships/control" Target="../activeX/activeX21.xml"/><Relationship Id="rId3" Type="http://schemas.openxmlformats.org/officeDocument/2006/relationships/vmlDrawing" Target="../drawings/vmlDrawing1.vml"/><Relationship Id="rId21" Type="http://schemas.openxmlformats.org/officeDocument/2006/relationships/control" Target="../activeX/activeX16.x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7.xml"/><Relationship Id="rId17" Type="http://schemas.openxmlformats.org/officeDocument/2006/relationships/control" Target="../activeX/activeX12.xml"/><Relationship Id="rId25" Type="http://schemas.openxmlformats.org/officeDocument/2006/relationships/control" Target="../activeX/activeX20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1.xml"/><Relationship Id="rId20" Type="http://schemas.openxmlformats.org/officeDocument/2006/relationships/control" Target="../activeX/activeX15.xml"/><Relationship Id="rId29" Type="http://schemas.openxmlformats.org/officeDocument/2006/relationships/control" Target="../activeX/activeX24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6.xml"/><Relationship Id="rId24" Type="http://schemas.openxmlformats.org/officeDocument/2006/relationships/control" Target="../activeX/activeX19.xml"/><Relationship Id="rId5" Type="http://schemas.openxmlformats.org/officeDocument/2006/relationships/image" Target="../media/image1.emf"/><Relationship Id="rId15" Type="http://schemas.openxmlformats.org/officeDocument/2006/relationships/control" Target="../activeX/activeX10.xml"/><Relationship Id="rId23" Type="http://schemas.openxmlformats.org/officeDocument/2006/relationships/control" Target="../activeX/activeX18.xml"/><Relationship Id="rId28" Type="http://schemas.openxmlformats.org/officeDocument/2006/relationships/control" Target="../activeX/activeX23.xml"/><Relationship Id="rId10" Type="http://schemas.openxmlformats.org/officeDocument/2006/relationships/control" Target="../activeX/activeX5.xml"/><Relationship Id="rId19" Type="http://schemas.openxmlformats.org/officeDocument/2006/relationships/control" Target="../activeX/activeX14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4" Type="http://schemas.openxmlformats.org/officeDocument/2006/relationships/control" Target="../activeX/activeX9.xml"/><Relationship Id="rId22" Type="http://schemas.openxmlformats.org/officeDocument/2006/relationships/control" Target="../activeX/activeX17.xml"/><Relationship Id="rId27" Type="http://schemas.openxmlformats.org/officeDocument/2006/relationships/control" Target="../activeX/activeX2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E209-C76E-48B4-BA16-11E128DDEAC1}">
  <sheetPr codeName="Лист1"/>
  <dimension ref="A1:M1048554"/>
  <sheetViews>
    <sheetView topLeftCell="A536" zoomScale="40" zoomScaleNormal="40" workbookViewId="0">
      <selection activeCell="A625" sqref="A625"/>
    </sheetView>
  </sheetViews>
  <sheetFormatPr defaultRowHeight="30" customHeight="1" x14ac:dyDescent="0.45"/>
  <cols>
    <col min="1" max="1" width="121" style="163" customWidth="1"/>
    <col min="2" max="2" width="15.7109375" style="166" customWidth="1"/>
    <col min="3" max="3" width="17.5703125" style="240" customWidth="1"/>
    <col min="4" max="4" width="17.5703125" style="241" customWidth="1"/>
    <col min="5" max="5" width="31.140625" style="232" customWidth="1"/>
    <col min="6" max="7" width="9.140625" style="196"/>
    <col min="8" max="8" width="14.42578125" style="197" customWidth="1"/>
    <col min="9" max="10" width="16.42578125" style="198" customWidth="1"/>
    <col min="11" max="11" width="8.42578125" style="199" bestFit="1" customWidth="1"/>
    <col min="12" max="12" width="7.7109375" style="199" bestFit="1" customWidth="1"/>
    <col min="13" max="13" width="23.28515625" style="199" customWidth="1"/>
    <col min="14" max="16" width="9.140625" style="199"/>
    <col min="17" max="17" width="9.140625" style="199" customWidth="1"/>
    <col min="18" max="16384" width="9.140625" style="199"/>
  </cols>
  <sheetData>
    <row r="1" spans="1:10" s="190" customFormat="1" ht="30" customHeight="1" x14ac:dyDescent="0.25">
      <c r="A1" s="158" t="s">
        <v>0</v>
      </c>
      <c r="B1" s="186" t="s">
        <v>1</v>
      </c>
      <c r="C1" s="187" t="s">
        <v>2</v>
      </c>
      <c r="D1" s="188" t="s">
        <v>3</v>
      </c>
      <c r="E1" s="189" t="s">
        <v>25</v>
      </c>
      <c r="H1" s="191"/>
      <c r="I1" s="190" t="s">
        <v>370</v>
      </c>
      <c r="J1" s="190" t="s">
        <v>371</v>
      </c>
    </row>
    <row r="2" spans="1:10" ht="30" customHeight="1" x14ac:dyDescent="0.45">
      <c r="A2" s="159"/>
      <c r="B2" s="192"/>
      <c r="C2" s="193"/>
      <c r="D2" s="194"/>
      <c r="E2" s="195"/>
    </row>
    <row r="3" spans="1:10" s="174" customFormat="1" ht="30" customHeight="1" thickBot="1" x14ac:dyDescent="0.5">
      <c r="A3" s="160" t="s">
        <v>213</v>
      </c>
      <c r="B3" s="172"/>
      <c r="C3" s="200"/>
      <c r="D3" s="200"/>
      <c r="E3" s="173"/>
      <c r="I3" s="201"/>
      <c r="J3" s="201"/>
    </row>
    <row r="4" spans="1:10" ht="30" customHeight="1" thickTop="1" x14ac:dyDescent="0.45">
      <c r="A4" s="159" t="s">
        <v>214</v>
      </c>
      <c r="B4" s="202"/>
      <c r="C4" s="203"/>
      <c r="D4" s="204"/>
      <c r="E4" s="205"/>
    </row>
    <row r="5" spans="1:10" ht="30" customHeight="1" x14ac:dyDescent="0.45">
      <c r="A5" s="159"/>
      <c r="B5" s="206"/>
      <c r="C5" s="207"/>
      <c r="D5" s="208"/>
      <c r="E5" s="205"/>
    </row>
    <row r="6" spans="1:10" ht="30" customHeight="1" x14ac:dyDescent="0.45">
      <c r="A6" s="159"/>
      <c r="B6" s="206"/>
      <c r="C6" s="207"/>
      <c r="D6" s="208"/>
      <c r="E6" s="205"/>
    </row>
    <row r="7" spans="1:10" ht="30" customHeight="1" x14ac:dyDescent="0.45">
      <c r="A7" s="159"/>
      <c r="B7" s="206"/>
      <c r="C7" s="207"/>
      <c r="D7" s="208"/>
      <c r="E7" s="205"/>
    </row>
    <row r="8" spans="1:10" ht="30" customHeight="1" x14ac:dyDescent="0.45">
      <c r="A8" s="159"/>
      <c r="B8" s="206"/>
      <c r="C8" s="207"/>
      <c r="D8" s="208"/>
      <c r="E8" s="205"/>
    </row>
    <row r="9" spans="1:10" ht="30" customHeight="1" x14ac:dyDescent="0.45">
      <c r="A9" s="159"/>
      <c r="B9" s="206"/>
      <c r="C9" s="207"/>
      <c r="D9" s="208"/>
      <c r="E9" s="205"/>
    </row>
    <row r="10" spans="1:10" ht="30" customHeight="1" x14ac:dyDescent="0.45">
      <c r="A10" s="159"/>
      <c r="B10" s="206"/>
      <c r="C10" s="207"/>
      <c r="D10" s="208"/>
      <c r="E10" s="205"/>
    </row>
    <row r="11" spans="1:10" ht="30" customHeight="1" x14ac:dyDescent="0.45">
      <c r="A11" s="159"/>
      <c r="B11" s="206"/>
      <c r="C11" s="207"/>
      <c r="D11" s="208"/>
      <c r="E11" s="205"/>
    </row>
    <row r="12" spans="1:10" ht="30" customHeight="1" x14ac:dyDescent="0.45">
      <c r="A12" s="159"/>
      <c r="B12" s="206"/>
      <c r="C12" s="207"/>
      <c r="D12" s="208"/>
      <c r="E12" s="205"/>
    </row>
    <row r="13" spans="1:10" ht="30" customHeight="1" x14ac:dyDescent="0.45">
      <c r="A13" s="159"/>
      <c r="B13" s="206"/>
      <c r="C13" s="207"/>
      <c r="D13" s="208"/>
      <c r="E13" s="205"/>
    </row>
    <row r="14" spans="1:10" ht="30" customHeight="1" x14ac:dyDescent="0.45">
      <c r="A14" s="159"/>
      <c r="B14" s="206"/>
      <c r="C14" s="207"/>
      <c r="D14" s="208"/>
      <c r="E14" s="205"/>
    </row>
    <row r="15" spans="1:10" ht="30" customHeight="1" x14ac:dyDescent="0.45">
      <c r="A15" s="159"/>
      <c r="B15" s="206"/>
      <c r="C15" s="207"/>
      <c r="D15" s="208"/>
      <c r="E15" s="205"/>
    </row>
    <row r="16" spans="1:10" ht="30" customHeight="1" x14ac:dyDescent="0.45">
      <c r="A16" s="159"/>
      <c r="B16" s="206"/>
      <c r="C16" s="207"/>
      <c r="D16" s="208"/>
      <c r="E16" s="205"/>
    </row>
    <row r="17" spans="1:10" ht="30" customHeight="1" x14ac:dyDescent="0.45">
      <c r="A17" s="159"/>
      <c r="B17" s="192"/>
      <c r="C17" s="193"/>
      <c r="D17" s="194"/>
      <c r="E17" s="205"/>
    </row>
    <row r="18" spans="1:10" s="213" customFormat="1" ht="30" customHeight="1" x14ac:dyDescent="0.45">
      <c r="A18" s="161" t="s">
        <v>35</v>
      </c>
      <c r="B18" s="209"/>
      <c r="C18" s="210"/>
      <c r="D18" s="211"/>
      <c r="E18" s="212"/>
      <c r="H18" s="214"/>
      <c r="I18" s="215"/>
      <c r="J18" s="215"/>
    </row>
    <row r="19" spans="1:10" ht="30" customHeight="1" x14ac:dyDescent="0.45">
      <c r="A19" s="162" t="s">
        <v>5</v>
      </c>
      <c r="B19" s="216">
        <v>1</v>
      </c>
      <c r="C19" s="217">
        <v>570</v>
      </c>
      <c r="D19" s="218"/>
      <c r="E19" s="219"/>
    </row>
    <row r="20" spans="1:10" ht="30" customHeight="1" x14ac:dyDescent="0.45">
      <c r="A20" s="162" t="s">
        <v>6</v>
      </c>
      <c r="B20" s="220">
        <v>1</v>
      </c>
      <c r="C20" s="221">
        <v>1050</v>
      </c>
      <c r="D20" s="222"/>
      <c r="E20" s="219"/>
    </row>
    <row r="21" spans="1:10" ht="30" customHeight="1" x14ac:dyDescent="0.45">
      <c r="A21" s="162" t="s">
        <v>7</v>
      </c>
      <c r="B21" s="220">
        <v>10</v>
      </c>
      <c r="C21" s="221">
        <v>750</v>
      </c>
      <c r="D21" s="222"/>
      <c r="E21" s="219"/>
    </row>
    <row r="22" spans="1:10" ht="30" customHeight="1" x14ac:dyDescent="0.45">
      <c r="A22" s="162" t="s">
        <v>8</v>
      </c>
      <c r="B22" s="223">
        <v>1</v>
      </c>
      <c r="C22" s="224">
        <v>10235</v>
      </c>
      <c r="D22" s="225"/>
      <c r="E22" s="219" t="s">
        <v>9</v>
      </c>
    </row>
    <row r="23" spans="1:10" s="213" customFormat="1" ht="30" customHeight="1" x14ac:dyDescent="0.45">
      <c r="A23" s="161" t="s">
        <v>19</v>
      </c>
      <c r="B23" s="209"/>
      <c r="C23" s="210"/>
      <c r="D23" s="211"/>
      <c r="E23" s="212"/>
      <c r="H23" s="214"/>
      <c r="I23" s="215"/>
      <c r="J23" s="215"/>
    </row>
    <row r="24" spans="1:10" s="226" customFormat="1" ht="30" customHeight="1" x14ac:dyDescent="0.45">
      <c r="A24" s="162" t="s">
        <v>17</v>
      </c>
      <c r="B24" s="216">
        <v>1</v>
      </c>
      <c r="C24" s="217">
        <v>74</v>
      </c>
      <c r="D24" s="218">
        <f t="shared" ref="D24:D33" si="0">C24*B24</f>
        <v>74</v>
      </c>
      <c r="E24" s="219"/>
      <c r="H24" s="227"/>
      <c r="I24" s="228"/>
      <c r="J24" s="228"/>
    </row>
    <row r="25" spans="1:10" s="226" customFormat="1" ht="30" customHeight="1" x14ac:dyDescent="0.45">
      <c r="A25" s="162" t="s">
        <v>21</v>
      </c>
      <c r="B25" s="220">
        <v>1</v>
      </c>
      <c r="C25" s="221">
        <v>134</v>
      </c>
      <c r="D25" s="222">
        <f t="shared" si="0"/>
        <v>134</v>
      </c>
      <c r="E25" s="219"/>
      <c r="H25" s="227"/>
      <c r="I25" s="228"/>
      <c r="J25" s="228"/>
    </row>
    <row r="26" spans="1:10" s="226" customFormat="1" ht="30" customHeight="1" x14ac:dyDescent="0.45">
      <c r="A26" s="162" t="s">
        <v>10</v>
      </c>
      <c r="B26" s="220">
        <v>60</v>
      </c>
      <c r="C26" s="221">
        <v>9.5</v>
      </c>
      <c r="D26" s="222">
        <f t="shared" si="0"/>
        <v>570</v>
      </c>
      <c r="E26" s="219"/>
      <c r="H26" s="227"/>
      <c r="I26" s="228"/>
      <c r="J26" s="228"/>
    </row>
    <row r="27" spans="1:10" s="226" customFormat="1" ht="30" customHeight="1" x14ac:dyDescent="0.45">
      <c r="A27" s="162" t="s">
        <v>11</v>
      </c>
      <c r="B27" s="220">
        <v>3</v>
      </c>
      <c r="C27" s="221">
        <v>390</v>
      </c>
      <c r="D27" s="222">
        <f t="shared" si="0"/>
        <v>1170</v>
      </c>
      <c r="E27" s="219"/>
      <c r="H27" s="227"/>
      <c r="I27" s="228"/>
      <c r="J27" s="228"/>
    </row>
    <row r="28" spans="1:10" s="226" customFormat="1" ht="30" customHeight="1" x14ac:dyDescent="0.45">
      <c r="A28" s="162" t="s">
        <v>12</v>
      </c>
      <c r="B28" s="220">
        <v>4</v>
      </c>
      <c r="C28" s="221">
        <v>720</v>
      </c>
      <c r="D28" s="222">
        <f t="shared" si="0"/>
        <v>2880</v>
      </c>
      <c r="E28" s="219"/>
      <c r="H28" s="227"/>
      <c r="I28" s="228"/>
      <c r="J28" s="228"/>
    </row>
    <row r="29" spans="1:10" s="226" customFormat="1" ht="30" customHeight="1" x14ac:dyDescent="0.45">
      <c r="A29" s="162" t="s">
        <v>13</v>
      </c>
      <c r="B29" s="220">
        <v>1</v>
      </c>
      <c r="C29" s="221">
        <v>1420</v>
      </c>
      <c r="D29" s="222">
        <f t="shared" si="0"/>
        <v>1420</v>
      </c>
      <c r="E29" s="219"/>
      <c r="H29" s="227"/>
      <c r="I29" s="228"/>
      <c r="J29" s="228"/>
    </row>
    <row r="30" spans="1:10" s="226" customFormat="1" ht="30" customHeight="1" x14ac:dyDescent="0.45">
      <c r="A30" s="162" t="s">
        <v>14</v>
      </c>
      <c r="B30" s="220">
        <v>1</v>
      </c>
      <c r="C30" s="221">
        <v>917</v>
      </c>
      <c r="D30" s="222">
        <f t="shared" si="0"/>
        <v>917</v>
      </c>
      <c r="E30" s="219"/>
      <c r="H30" s="227"/>
      <c r="I30" s="228"/>
      <c r="J30" s="228"/>
    </row>
    <row r="31" spans="1:10" s="226" customFormat="1" ht="30" customHeight="1" x14ac:dyDescent="0.45">
      <c r="A31" s="162" t="s">
        <v>16</v>
      </c>
      <c r="B31" s="220">
        <v>2</v>
      </c>
      <c r="C31" s="221">
        <v>715</v>
      </c>
      <c r="D31" s="222">
        <f t="shared" si="0"/>
        <v>1430</v>
      </c>
      <c r="E31" s="219"/>
      <c r="H31" s="227"/>
      <c r="I31" s="228"/>
      <c r="J31" s="228"/>
    </row>
    <row r="32" spans="1:10" s="226" customFormat="1" ht="30" customHeight="1" x14ac:dyDescent="0.45">
      <c r="A32" s="162" t="s">
        <v>15</v>
      </c>
      <c r="B32" s="220">
        <v>1</v>
      </c>
      <c r="C32" s="221">
        <v>1455</v>
      </c>
      <c r="D32" s="222">
        <f t="shared" si="0"/>
        <v>1455</v>
      </c>
      <c r="E32" s="219"/>
      <c r="H32" s="227"/>
      <c r="I32" s="228"/>
      <c r="J32" s="228"/>
    </row>
    <row r="33" spans="1:10" s="226" customFormat="1" ht="30" customHeight="1" x14ac:dyDescent="0.45">
      <c r="A33" s="162" t="s">
        <v>18</v>
      </c>
      <c r="B33" s="220">
        <v>4</v>
      </c>
      <c r="C33" s="221">
        <v>1815</v>
      </c>
      <c r="D33" s="222">
        <f t="shared" si="0"/>
        <v>7260</v>
      </c>
      <c r="E33" s="219"/>
      <c r="H33" s="227"/>
      <c r="I33" s="228"/>
      <c r="J33" s="228"/>
    </row>
    <row r="34" spans="1:10" s="226" customFormat="1" ht="30" customHeight="1" x14ac:dyDescent="0.45">
      <c r="A34" s="162"/>
      <c r="B34" s="220"/>
      <c r="C34" s="221"/>
      <c r="D34" s="222">
        <f>SUM(D24:D33)</f>
        <v>17310</v>
      </c>
      <c r="E34" s="219"/>
      <c r="H34" s="227"/>
      <c r="I34" s="228"/>
      <c r="J34" s="228"/>
    </row>
    <row r="36" spans="1:10" ht="30" customHeight="1" x14ac:dyDescent="0.45">
      <c r="B36" s="229"/>
      <c r="C36" s="230"/>
      <c r="D36" s="231"/>
    </row>
    <row r="37" spans="1:10" s="237" customFormat="1" ht="30" customHeight="1" x14ac:dyDescent="0.45">
      <c r="A37" s="164" t="s">
        <v>22</v>
      </c>
      <c r="B37" s="233"/>
      <c r="C37" s="234"/>
      <c r="D37" s="235"/>
      <c r="E37" s="236"/>
      <c r="H37" s="238"/>
      <c r="I37" s="239"/>
      <c r="J37" s="239"/>
    </row>
    <row r="38" spans="1:10" s="226" customFormat="1" ht="30" customHeight="1" x14ac:dyDescent="0.45">
      <c r="A38" s="162" t="s">
        <v>23</v>
      </c>
      <c r="B38" s="216">
        <v>60</v>
      </c>
      <c r="C38" s="217">
        <v>45</v>
      </c>
      <c r="D38" s="218">
        <f>B38*C38</f>
        <v>2700</v>
      </c>
      <c r="E38" s="219"/>
      <c r="H38" s="227"/>
      <c r="I38" s="228"/>
      <c r="J38" s="228"/>
    </row>
    <row r="39" spans="1:10" s="226" customFormat="1" ht="30" customHeight="1" x14ac:dyDescent="0.45">
      <c r="A39" s="162" t="s">
        <v>24</v>
      </c>
      <c r="B39" s="220">
        <v>65</v>
      </c>
      <c r="C39" s="221">
        <v>15.38</v>
      </c>
      <c r="D39" s="222">
        <f>B39*C39</f>
        <v>999.7</v>
      </c>
      <c r="E39" s="219"/>
      <c r="H39" s="227"/>
      <c r="I39" s="228"/>
      <c r="J39" s="228"/>
    </row>
    <row r="40" spans="1:10" s="226" customFormat="1" ht="30" customHeight="1" x14ac:dyDescent="0.45">
      <c r="A40" s="162" t="s">
        <v>26</v>
      </c>
      <c r="B40" s="220">
        <v>36</v>
      </c>
      <c r="C40" s="221">
        <v>235</v>
      </c>
      <c r="D40" s="222">
        <f>B40*C40</f>
        <v>8460</v>
      </c>
      <c r="E40" s="219"/>
      <c r="H40" s="227"/>
      <c r="I40" s="228"/>
      <c r="J40" s="228"/>
    </row>
    <row r="41" spans="1:10" s="226" customFormat="1" ht="30" customHeight="1" x14ac:dyDescent="0.45">
      <c r="A41" s="162" t="s">
        <v>34</v>
      </c>
      <c r="B41" s="220">
        <v>50</v>
      </c>
      <c r="C41" s="221">
        <v>850</v>
      </c>
      <c r="D41" s="222">
        <f>B41*C41</f>
        <v>42500</v>
      </c>
      <c r="E41" s="219"/>
      <c r="H41" s="227"/>
      <c r="I41" s="228"/>
      <c r="J41" s="228"/>
    </row>
    <row r="42" spans="1:10" s="226" customFormat="1" ht="30" customHeight="1" x14ac:dyDescent="0.45">
      <c r="A42" s="162"/>
      <c r="B42" s="220"/>
      <c r="C42" s="221"/>
      <c r="D42" s="222"/>
      <c r="E42" s="219">
        <f>SUM(D38:D41)</f>
        <v>54659.7</v>
      </c>
      <c r="H42" s="227"/>
      <c r="I42" s="228"/>
      <c r="J42" s="228"/>
    </row>
    <row r="43" spans="1:10" ht="30" customHeight="1" x14ac:dyDescent="0.45">
      <c r="D43" s="241" t="s">
        <v>98</v>
      </c>
    </row>
    <row r="44" spans="1:10" s="226" customFormat="1" ht="30" customHeight="1" x14ac:dyDescent="0.45">
      <c r="A44" s="162" t="s">
        <v>23</v>
      </c>
      <c r="B44" s="220">
        <v>60</v>
      </c>
      <c r="C44" s="221">
        <v>45</v>
      </c>
      <c r="D44" s="222">
        <f>B44*C44</f>
        <v>2700</v>
      </c>
      <c r="E44" s="219"/>
      <c r="H44" s="227"/>
      <c r="I44" s="228"/>
      <c r="J44" s="228"/>
    </row>
    <row r="45" spans="1:10" s="226" customFormat="1" ht="30" customHeight="1" x14ac:dyDescent="0.45">
      <c r="A45" s="162" t="s">
        <v>24</v>
      </c>
      <c r="B45" s="220">
        <v>20</v>
      </c>
      <c r="C45" s="221">
        <v>15</v>
      </c>
      <c r="D45" s="222">
        <f>B45*C45</f>
        <v>300</v>
      </c>
      <c r="E45" s="219"/>
      <c r="H45" s="227"/>
      <c r="I45" s="228"/>
      <c r="J45" s="228"/>
    </row>
    <row r="46" spans="1:10" s="226" customFormat="1" ht="30" customHeight="1" x14ac:dyDescent="0.45">
      <c r="A46" s="162" t="s">
        <v>34</v>
      </c>
      <c r="B46" s="223">
        <v>20</v>
      </c>
      <c r="C46" s="224">
        <v>850</v>
      </c>
      <c r="D46" s="225">
        <f>B46*C46</f>
        <v>17000</v>
      </c>
      <c r="E46" s="219"/>
      <c r="H46" s="227"/>
      <c r="I46" s="228"/>
      <c r="J46" s="228"/>
    </row>
    <row r="47" spans="1:10" s="213" customFormat="1" ht="30" customHeight="1" x14ac:dyDescent="0.45">
      <c r="A47" s="161" t="s">
        <v>36</v>
      </c>
      <c r="B47" s="209"/>
      <c r="C47" s="210"/>
      <c r="D47" s="211"/>
      <c r="E47" s="212"/>
      <c r="H47" s="214"/>
      <c r="I47" s="215"/>
      <c r="J47" s="215"/>
    </row>
    <row r="48" spans="1:10" ht="30" customHeight="1" x14ac:dyDescent="0.45">
      <c r="A48" s="163" t="s">
        <v>27</v>
      </c>
      <c r="B48" s="165">
        <v>60</v>
      </c>
      <c r="C48" s="242">
        <v>92</v>
      </c>
      <c r="D48" s="243">
        <f t="shared" ref="D48:D54" si="1">B48*C48</f>
        <v>5520</v>
      </c>
    </row>
    <row r="49" spans="1:10" ht="30" customHeight="1" x14ac:dyDescent="0.45">
      <c r="A49" s="163" t="s">
        <v>28</v>
      </c>
      <c r="B49" s="166">
        <v>60</v>
      </c>
      <c r="C49" s="244">
        <v>85</v>
      </c>
      <c r="D49" s="245">
        <f t="shared" si="1"/>
        <v>5100</v>
      </c>
    </row>
    <row r="50" spans="1:10" ht="30" customHeight="1" x14ac:dyDescent="0.45">
      <c r="A50" s="163" t="s">
        <v>29</v>
      </c>
      <c r="B50" s="166">
        <v>43</v>
      </c>
      <c r="C50" s="244">
        <v>337</v>
      </c>
      <c r="D50" s="245">
        <f t="shared" si="1"/>
        <v>14491</v>
      </c>
    </row>
    <row r="51" spans="1:10" ht="30" customHeight="1" x14ac:dyDescent="0.45">
      <c r="A51" s="163" t="s">
        <v>30</v>
      </c>
      <c r="B51" s="166">
        <v>60</v>
      </c>
      <c r="C51" s="244">
        <v>375</v>
      </c>
      <c r="D51" s="245">
        <f t="shared" si="1"/>
        <v>22500</v>
      </c>
    </row>
    <row r="52" spans="1:10" ht="30" customHeight="1" x14ac:dyDescent="0.45">
      <c r="A52" s="163" t="s">
        <v>31</v>
      </c>
      <c r="B52" s="166">
        <v>2</v>
      </c>
      <c r="C52" s="244">
        <v>125</v>
      </c>
      <c r="D52" s="245">
        <f t="shared" si="1"/>
        <v>250</v>
      </c>
    </row>
    <row r="53" spans="1:10" ht="30" customHeight="1" x14ac:dyDescent="0.45">
      <c r="A53" s="163" t="s">
        <v>32</v>
      </c>
      <c r="B53" s="166">
        <v>10</v>
      </c>
      <c r="C53" s="244">
        <v>815</v>
      </c>
      <c r="D53" s="245">
        <f t="shared" si="1"/>
        <v>8150</v>
      </c>
    </row>
    <row r="54" spans="1:10" ht="30" customHeight="1" x14ac:dyDescent="0.45">
      <c r="A54" s="163" t="s">
        <v>33</v>
      </c>
      <c r="B54" s="166">
        <v>2</v>
      </c>
      <c r="C54" s="244">
        <v>1325</v>
      </c>
      <c r="D54" s="245">
        <f t="shared" si="1"/>
        <v>2650</v>
      </c>
    </row>
    <row r="55" spans="1:10" ht="30" customHeight="1" x14ac:dyDescent="0.45">
      <c r="E55" s="232">
        <f>SUM(D48:D54)</f>
        <v>58661</v>
      </c>
    </row>
    <row r="56" spans="1:10" ht="30" customHeight="1" x14ac:dyDescent="0.45">
      <c r="B56" s="229"/>
      <c r="C56" s="230"/>
      <c r="D56" s="231"/>
    </row>
    <row r="57" spans="1:10" s="213" customFormat="1" ht="30" customHeight="1" x14ac:dyDescent="0.45">
      <c r="A57" s="161" t="s">
        <v>38</v>
      </c>
      <c r="B57" s="209"/>
      <c r="C57" s="210"/>
      <c r="D57" s="211"/>
      <c r="E57" s="212"/>
      <c r="H57" s="214"/>
      <c r="I57" s="215"/>
      <c r="J57" s="215"/>
    </row>
    <row r="58" spans="1:10" ht="30" customHeight="1" x14ac:dyDescent="0.45">
      <c r="A58" s="163">
        <v>117</v>
      </c>
      <c r="B58" s="165">
        <v>6</v>
      </c>
      <c r="C58" s="246">
        <v>25</v>
      </c>
      <c r="D58" s="247">
        <f>C58*B58</f>
        <v>150</v>
      </c>
    </row>
    <row r="59" spans="1:10" ht="30" customHeight="1" x14ac:dyDescent="0.45">
      <c r="A59" s="163">
        <v>118</v>
      </c>
      <c r="B59" s="166">
        <v>19</v>
      </c>
      <c r="C59" s="240">
        <v>25</v>
      </c>
      <c r="D59" s="241">
        <f>C59*B59</f>
        <v>475</v>
      </c>
    </row>
    <row r="60" spans="1:10" ht="30" customHeight="1" x14ac:dyDescent="0.45">
      <c r="A60" s="163">
        <v>119</v>
      </c>
      <c r="B60" s="166">
        <v>6</v>
      </c>
      <c r="C60" s="240">
        <v>25</v>
      </c>
      <c r="D60" s="241">
        <f>C60*B60</f>
        <v>150</v>
      </c>
    </row>
    <row r="61" spans="1:10" ht="30" customHeight="1" x14ac:dyDescent="0.45">
      <c r="A61" s="163">
        <v>120</v>
      </c>
      <c r="B61" s="166">
        <v>5</v>
      </c>
      <c r="C61" s="240">
        <v>25</v>
      </c>
      <c r="D61" s="241">
        <f>C61*B61</f>
        <v>125</v>
      </c>
    </row>
    <row r="62" spans="1:10" ht="30" customHeight="1" x14ac:dyDescent="0.45">
      <c r="A62" s="163">
        <v>121</v>
      </c>
      <c r="B62" s="166">
        <v>2</v>
      </c>
      <c r="C62" s="240">
        <v>25</v>
      </c>
      <c r="D62" s="241">
        <f>C62*B62</f>
        <v>50</v>
      </c>
    </row>
    <row r="63" spans="1:10" ht="30" customHeight="1" x14ac:dyDescent="0.45">
      <c r="B63" s="229"/>
      <c r="C63" s="230"/>
      <c r="D63" s="231"/>
    </row>
    <row r="64" spans="1:10" s="213" customFormat="1" ht="30" customHeight="1" x14ac:dyDescent="0.45">
      <c r="A64" s="161" t="s">
        <v>39</v>
      </c>
      <c r="B64" s="209"/>
      <c r="C64" s="210"/>
      <c r="D64" s="211"/>
      <c r="E64" s="212"/>
      <c r="H64" s="214"/>
      <c r="I64" s="215"/>
      <c r="J64" s="215"/>
    </row>
    <row r="65" spans="1:11" ht="30" customHeight="1" x14ac:dyDescent="0.45">
      <c r="A65" s="163" t="s">
        <v>40</v>
      </c>
      <c r="B65" s="165">
        <v>2</v>
      </c>
      <c r="C65" s="246"/>
      <c r="D65" s="247"/>
    </row>
    <row r="66" spans="1:11" ht="30" customHeight="1" x14ac:dyDescent="0.45">
      <c r="A66" s="163" t="s">
        <v>64</v>
      </c>
      <c r="B66" s="248">
        <v>1</v>
      </c>
      <c r="C66" s="240">
        <v>185</v>
      </c>
    </row>
    <row r="67" spans="1:11" ht="30" customHeight="1" x14ac:dyDescent="0.45">
      <c r="A67" s="167" t="s">
        <v>66</v>
      </c>
      <c r="B67" s="166">
        <v>4</v>
      </c>
    </row>
    <row r="68" spans="1:11" ht="30" customHeight="1" x14ac:dyDescent="0.45">
      <c r="B68" s="229"/>
      <c r="C68" s="230"/>
      <c r="D68" s="231"/>
    </row>
    <row r="69" spans="1:11" s="213" customFormat="1" ht="30" customHeight="1" x14ac:dyDescent="0.45">
      <c r="A69" s="161" t="s">
        <v>61</v>
      </c>
      <c r="B69" s="209"/>
      <c r="C69" s="210"/>
      <c r="D69" s="211"/>
      <c r="E69" s="212"/>
      <c r="H69" s="214"/>
      <c r="I69" s="215"/>
      <c r="J69" s="215"/>
    </row>
    <row r="70" spans="1:11" ht="30" customHeight="1" x14ac:dyDescent="0.45">
      <c r="A70" s="163" t="s">
        <v>62</v>
      </c>
      <c r="B70" s="165">
        <v>400</v>
      </c>
      <c r="C70" s="246">
        <v>60</v>
      </c>
      <c r="D70" s="247">
        <f>C70*B70</f>
        <v>24000</v>
      </c>
    </row>
    <row r="71" spans="1:11" ht="30" customHeight="1" x14ac:dyDescent="0.45">
      <c r="A71" s="163" t="s">
        <v>63</v>
      </c>
      <c r="B71" s="166">
        <v>400</v>
      </c>
      <c r="C71" s="240">
        <v>92.5</v>
      </c>
      <c r="D71" s="241">
        <f>C71*B71</f>
        <v>37000</v>
      </c>
    </row>
    <row r="72" spans="1:11" ht="30" customHeight="1" x14ac:dyDescent="0.45">
      <c r="E72" s="232">
        <f>SUM(D69:D71)</f>
        <v>61000</v>
      </c>
    </row>
    <row r="73" spans="1:11" ht="30" customHeight="1" x14ac:dyDescent="0.45">
      <c r="B73" s="229"/>
      <c r="C73" s="230"/>
      <c r="D73" s="231"/>
    </row>
    <row r="74" spans="1:11" s="174" customFormat="1" ht="30" customHeight="1" thickBot="1" x14ac:dyDescent="0.5">
      <c r="A74" s="160" t="s">
        <v>72</v>
      </c>
      <c r="B74" s="249"/>
      <c r="C74" s="200" t="s">
        <v>104</v>
      </c>
      <c r="D74" s="250"/>
      <c r="E74" s="251"/>
      <c r="I74" s="201"/>
      <c r="J74" s="201"/>
    </row>
    <row r="75" spans="1:11" ht="30" customHeight="1" thickTop="1" x14ac:dyDescent="0.45">
      <c r="A75" s="163" t="s">
        <v>73</v>
      </c>
      <c r="B75" s="165">
        <v>1</v>
      </c>
      <c r="C75" s="246">
        <v>1550</v>
      </c>
      <c r="D75" s="247">
        <f>C75*B75</f>
        <v>1550</v>
      </c>
    </row>
    <row r="76" spans="1:11" ht="30" customHeight="1" x14ac:dyDescent="0.45">
      <c r="B76" s="168"/>
      <c r="C76" s="252"/>
      <c r="D76" s="253"/>
      <c r="E76" s="169"/>
      <c r="H76" s="170"/>
      <c r="K76" s="199" t="s">
        <v>65</v>
      </c>
    </row>
    <row r="77" spans="1:11" ht="30" customHeight="1" x14ac:dyDescent="0.45">
      <c r="B77" s="171"/>
      <c r="C77" s="254"/>
      <c r="D77" s="255"/>
      <c r="E77" s="169"/>
      <c r="H77" s="170"/>
      <c r="K77" s="199" t="s">
        <v>65</v>
      </c>
    </row>
    <row r="78" spans="1:11" s="174" customFormat="1" ht="30" customHeight="1" thickBot="1" x14ac:dyDescent="0.5">
      <c r="A78" s="160" t="s">
        <v>74</v>
      </c>
      <c r="B78" s="172"/>
      <c r="C78" s="200"/>
      <c r="D78" s="200"/>
      <c r="E78" s="173"/>
      <c r="I78" s="201"/>
      <c r="J78" s="201"/>
      <c r="K78" s="174" t="s">
        <v>65</v>
      </c>
    </row>
    <row r="79" spans="1:11" ht="30" customHeight="1" thickTop="1" x14ac:dyDescent="0.45">
      <c r="A79" s="163" t="s">
        <v>75</v>
      </c>
      <c r="B79" s="165">
        <v>20</v>
      </c>
      <c r="C79" s="246">
        <v>260</v>
      </c>
      <c r="D79" s="247">
        <f>C79*B79</f>
        <v>5200</v>
      </c>
    </row>
    <row r="80" spans="1:11" ht="30" customHeight="1" x14ac:dyDescent="0.45">
      <c r="A80" s="163" t="s">
        <v>76</v>
      </c>
      <c r="B80" s="166">
        <v>100</v>
      </c>
      <c r="C80" s="240">
        <v>79</v>
      </c>
      <c r="D80" s="241">
        <f>C80*B80</f>
        <v>7900</v>
      </c>
    </row>
    <row r="81" spans="1:10" ht="30" customHeight="1" x14ac:dyDescent="0.45">
      <c r="A81" s="163" t="s">
        <v>77</v>
      </c>
      <c r="B81" s="166">
        <v>100</v>
      </c>
      <c r="C81" s="240">
        <v>82</v>
      </c>
      <c r="D81" s="241">
        <f>C81*B81</f>
        <v>8200</v>
      </c>
    </row>
    <row r="82" spans="1:10" ht="30" customHeight="1" x14ac:dyDescent="0.45">
      <c r="B82" s="229"/>
      <c r="C82" s="230"/>
      <c r="D82" s="231"/>
    </row>
    <row r="83" spans="1:10" s="174" customFormat="1" ht="30" customHeight="1" thickBot="1" x14ac:dyDescent="0.5">
      <c r="A83" s="160" t="s">
        <v>78</v>
      </c>
      <c r="B83" s="249"/>
      <c r="C83" s="250"/>
      <c r="D83" s="250"/>
      <c r="E83" s="251"/>
      <c r="I83" s="201"/>
      <c r="J83" s="201"/>
    </row>
    <row r="84" spans="1:10" ht="30" customHeight="1" thickTop="1" x14ac:dyDescent="0.45">
      <c r="A84" s="163" t="s">
        <v>79</v>
      </c>
      <c r="B84" s="165">
        <v>30</v>
      </c>
      <c r="C84" s="246">
        <v>120</v>
      </c>
      <c r="D84" s="247">
        <f t="shared" ref="D84:D90" si="2">C84*B84</f>
        <v>3600</v>
      </c>
    </row>
    <row r="85" spans="1:10" ht="30" customHeight="1" x14ac:dyDescent="0.45">
      <c r="A85" s="163" t="s">
        <v>85</v>
      </c>
      <c r="B85" s="166">
        <v>15</v>
      </c>
      <c r="C85" s="240">
        <v>850</v>
      </c>
      <c r="D85" s="241">
        <f t="shared" si="2"/>
        <v>12750</v>
      </c>
    </row>
    <row r="86" spans="1:10" ht="30" customHeight="1" x14ac:dyDescent="0.45">
      <c r="A86" s="163" t="s">
        <v>70</v>
      </c>
      <c r="B86" s="166">
        <v>250</v>
      </c>
      <c r="C86" s="240">
        <v>40</v>
      </c>
      <c r="D86" s="241">
        <f t="shared" si="2"/>
        <v>10000</v>
      </c>
    </row>
    <row r="87" spans="1:10" ht="30" customHeight="1" x14ac:dyDescent="0.45">
      <c r="A87" s="163" t="s">
        <v>86</v>
      </c>
      <c r="B87" s="166">
        <v>60</v>
      </c>
      <c r="C87" s="240">
        <v>85</v>
      </c>
      <c r="D87" s="241">
        <f t="shared" si="2"/>
        <v>5100</v>
      </c>
    </row>
    <row r="88" spans="1:10" ht="30" customHeight="1" x14ac:dyDescent="0.45">
      <c r="A88" s="163" t="s">
        <v>87</v>
      </c>
      <c r="B88" s="166">
        <v>5</v>
      </c>
      <c r="C88" s="240">
        <v>850</v>
      </c>
      <c r="D88" s="241">
        <f t="shared" si="2"/>
        <v>4250</v>
      </c>
    </row>
    <row r="89" spans="1:10" ht="30" customHeight="1" x14ac:dyDescent="0.45">
      <c r="A89" s="163" t="s">
        <v>89</v>
      </c>
      <c r="B89" s="166">
        <v>30</v>
      </c>
      <c r="C89" s="240">
        <v>98</v>
      </c>
      <c r="D89" s="241">
        <f t="shared" si="2"/>
        <v>2940</v>
      </c>
    </row>
    <row r="90" spans="1:10" ht="30" customHeight="1" x14ac:dyDescent="0.45">
      <c r="A90" s="163" t="s">
        <v>88</v>
      </c>
      <c r="B90" s="166">
        <v>120</v>
      </c>
      <c r="C90" s="240">
        <v>5.5</v>
      </c>
      <c r="D90" s="241">
        <f t="shared" si="2"/>
        <v>660</v>
      </c>
    </row>
    <row r="91" spans="1:10" ht="30" customHeight="1" x14ac:dyDescent="0.45">
      <c r="E91" s="232">
        <f>SUM(D84:D90)</f>
        <v>39300</v>
      </c>
    </row>
    <row r="92" spans="1:10" ht="30" customHeight="1" x14ac:dyDescent="0.45">
      <c r="B92" s="229"/>
      <c r="C92" s="230"/>
      <c r="D92" s="231"/>
    </row>
    <row r="93" spans="1:10" s="174" customFormat="1" ht="30" customHeight="1" thickBot="1" x14ac:dyDescent="0.5">
      <c r="A93" s="160" t="s">
        <v>103</v>
      </c>
      <c r="B93" s="249"/>
      <c r="C93" s="250"/>
      <c r="D93" s="250"/>
      <c r="E93" s="251"/>
      <c r="I93" s="201"/>
      <c r="J93" s="201"/>
    </row>
    <row r="94" spans="1:10" ht="30" customHeight="1" thickTop="1" x14ac:dyDescent="0.45">
      <c r="A94" s="163" t="s">
        <v>84</v>
      </c>
      <c r="B94" s="175">
        <v>348</v>
      </c>
      <c r="C94" s="256">
        <v>85</v>
      </c>
      <c r="D94" s="247">
        <f>PRODUCT(B94:C94)</f>
        <v>29580</v>
      </c>
    </row>
    <row r="95" spans="1:10" ht="30" customHeight="1" x14ac:dyDescent="0.45">
      <c r="A95" s="163" t="s">
        <v>80</v>
      </c>
      <c r="B95" s="168">
        <v>348</v>
      </c>
      <c r="C95" s="252">
        <v>85</v>
      </c>
      <c r="D95" s="241">
        <f>PRODUCT(B95:C95)</f>
        <v>29580</v>
      </c>
    </row>
    <row r="96" spans="1:10" ht="30" customHeight="1" x14ac:dyDescent="0.45">
      <c r="A96" s="163" t="s">
        <v>81</v>
      </c>
      <c r="B96" s="168">
        <v>348</v>
      </c>
      <c r="C96" s="252">
        <v>375</v>
      </c>
      <c r="D96" s="241">
        <f>PRODUCT(B96:C96)</f>
        <v>130500</v>
      </c>
    </row>
    <row r="97" spans="1:10" ht="30" customHeight="1" x14ac:dyDescent="0.45">
      <c r="A97" s="163" t="s">
        <v>82</v>
      </c>
      <c r="B97" s="168">
        <v>348</v>
      </c>
      <c r="C97" s="252">
        <v>380</v>
      </c>
      <c r="D97" s="241">
        <f>PRODUCT(B97:C97)</f>
        <v>132240</v>
      </c>
    </row>
    <row r="98" spans="1:10" ht="30" customHeight="1" x14ac:dyDescent="0.45">
      <c r="A98" s="163" t="s">
        <v>83</v>
      </c>
      <c r="B98" s="168">
        <v>348</v>
      </c>
      <c r="C98" s="252">
        <v>395</v>
      </c>
      <c r="D98" s="241">
        <f>PRODUCT(B98:C98)</f>
        <v>137460</v>
      </c>
    </row>
    <row r="99" spans="1:10" ht="30" customHeight="1" x14ac:dyDescent="0.45">
      <c r="E99" s="232">
        <f>SUM(D94:D98)</f>
        <v>459360</v>
      </c>
    </row>
    <row r="100" spans="1:10" ht="30" customHeight="1" x14ac:dyDescent="0.45">
      <c r="B100" s="229"/>
      <c r="C100" s="230"/>
      <c r="D100" s="231"/>
    </row>
    <row r="101" spans="1:10" s="174" customFormat="1" ht="30" customHeight="1" thickBot="1" x14ac:dyDescent="0.5">
      <c r="A101" s="160" t="s">
        <v>90</v>
      </c>
      <c r="B101" s="249"/>
      <c r="C101" s="250"/>
      <c r="D101" s="250"/>
      <c r="E101" s="251"/>
      <c r="I101" s="201"/>
      <c r="J101" s="201"/>
    </row>
    <row r="102" spans="1:10" ht="30" customHeight="1" thickTop="1" x14ac:dyDescent="0.45">
      <c r="A102" s="163" t="s">
        <v>91</v>
      </c>
      <c r="B102" s="257">
        <v>27</v>
      </c>
      <c r="C102" s="246">
        <v>20</v>
      </c>
      <c r="D102" s="247"/>
    </row>
    <row r="103" spans="1:10" ht="30" customHeight="1" x14ac:dyDescent="0.45">
      <c r="A103" s="163" t="s">
        <v>92</v>
      </c>
      <c r="B103" s="248">
        <v>10</v>
      </c>
      <c r="C103" s="240">
        <v>425</v>
      </c>
    </row>
    <row r="104" spans="1:10" ht="30" customHeight="1" x14ac:dyDescent="0.45">
      <c r="A104" s="163" t="s">
        <v>93</v>
      </c>
      <c r="B104" s="248">
        <v>10</v>
      </c>
      <c r="C104" s="240">
        <v>375</v>
      </c>
    </row>
    <row r="105" spans="1:10" ht="30" customHeight="1" x14ac:dyDescent="0.45">
      <c r="A105" s="163" t="s">
        <v>94</v>
      </c>
      <c r="B105" s="166">
        <v>40</v>
      </c>
      <c r="C105" s="240">
        <v>85</v>
      </c>
    </row>
    <row r="107" spans="1:10" ht="30" customHeight="1" x14ac:dyDescent="0.45">
      <c r="B107" s="229"/>
      <c r="C107" s="230"/>
      <c r="D107" s="231"/>
    </row>
    <row r="108" spans="1:10" s="174" customFormat="1" ht="30" customHeight="1" thickBot="1" x14ac:dyDescent="0.5">
      <c r="A108" s="160" t="s">
        <v>95</v>
      </c>
      <c r="B108" s="249"/>
      <c r="C108" s="250"/>
      <c r="D108" s="250"/>
      <c r="E108" s="251"/>
      <c r="I108" s="201"/>
      <c r="J108" s="201"/>
    </row>
    <row r="109" spans="1:10" s="258" customFormat="1" ht="30" customHeight="1" thickTop="1" x14ac:dyDescent="0.45">
      <c r="A109" s="176" t="s">
        <v>96</v>
      </c>
      <c r="B109" s="216">
        <v>7510</v>
      </c>
      <c r="C109" s="217">
        <v>6</v>
      </c>
      <c r="D109" s="218"/>
      <c r="E109" s="219"/>
      <c r="H109" s="259"/>
      <c r="I109" s="260"/>
      <c r="J109" s="260"/>
    </row>
    <row r="110" spans="1:10" s="258" customFormat="1" ht="30" customHeight="1" x14ac:dyDescent="0.45">
      <c r="A110" s="176" t="s">
        <v>97</v>
      </c>
      <c r="B110" s="220"/>
      <c r="C110" s="221"/>
      <c r="D110" s="222"/>
      <c r="E110" s="219"/>
      <c r="H110" s="259"/>
      <c r="I110" s="260"/>
      <c r="J110" s="260"/>
    </row>
    <row r="112" spans="1:10" ht="30" customHeight="1" x14ac:dyDescent="0.45">
      <c r="B112" s="229"/>
      <c r="C112" s="230"/>
      <c r="D112" s="231"/>
    </row>
    <row r="113" spans="1:13" s="174" customFormat="1" ht="30" customHeight="1" thickBot="1" x14ac:dyDescent="0.5">
      <c r="A113" s="160" t="s">
        <v>102</v>
      </c>
      <c r="B113" s="249"/>
      <c r="C113" s="250"/>
      <c r="D113" s="250"/>
      <c r="E113" s="251"/>
      <c r="I113" s="201"/>
      <c r="J113" s="201"/>
    </row>
    <row r="114" spans="1:13" ht="30" customHeight="1" thickTop="1" x14ac:dyDescent="0.45">
      <c r="A114" s="163" t="s">
        <v>99</v>
      </c>
      <c r="B114" s="165">
        <v>200</v>
      </c>
      <c r="C114" s="246">
        <v>123</v>
      </c>
      <c r="D114" s="247"/>
    </row>
    <row r="115" spans="1:13" ht="30" customHeight="1" x14ac:dyDescent="0.45">
      <c r="A115" s="163" t="s">
        <v>100</v>
      </c>
      <c r="B115" s="166">
        <v>200</v>
      </c>
      <c r="C115" s="240">
        <v>123</v>
      </c>
    </row>
    <row r="116" spans="1:13" ht="30" customHeight="1" x14ac:dyDescent="0.45">
      <c r="A116" s="163" t="s">
        <v>101</v>
      </c>
      <c r="B116" s="166">
        <v>200</v>
      </c>
      <c r="C116" s="240">
        <v>123</v>
      </c>
    </row>
    <row r="117" spans="1:13" ht="30" customHeight="1" x14ac:dyDescent="0.45">
      <c r="B117" s="229"/>
      <c r="C117" s="230"/>
      <c r="D117" s="231"/>
    </row>
    <row r="118" spans="1:13" ht="30" customHeight="1" x14ac:dyDescent="0.45">
      <c r="B118" s="229"/>
      <c r="C118" s="230"/>
      <c r="D118" s="231"/>
    </row>
    <row r="119" spans="1:13" s="174" customFormat="1" ht="30" customHeight="1" thickBot="1" x14ac:dyDescent="0.5">
      <c r="A119" s="160" t="s">
        <v>108</v>
      </c>
      <c r="B119" s="249"/>
      <c r="C119" s="250"/>
      <c r="D119" s="250"/>
      <c r="E119" s="251"/>
      <c r="I119" s="201"/>
      <c r="J119" s="201"/>
    </row>
    <row r="120" spans="1:13" ht="30" customHeight="1" thickTop="1" x14ac:dyDescent="0.45">
      <c r="A120" s="163" t="s">
        <v>109</v>
      </c>
      <c r="B120" s="202">
        <v>10</v>
      </c>
      <c r="C120" s="203"/>
      <c r="D120" s="204"/>
    </row>
    <row r="121" spans="1:13" ht="30" customHeight="1" x14ac:dyDescent="0.45">
      <c r="A121" s="163" t="s">
        <v>110</v>
      </c>
      <c r="B121" s="206"/>
      <c r="C121" s="207">
        <v>3500</v>
      </c>
      <c r="D121" s="208"/>
    </row>
    <row r="122" spans="1:13" ht="30" customHeight="1" x14ac:dyDescent="0.45">
      <c r="B122" s="192"/>
      <c r="C122" s="193"/>
      <c r="D122" s="194"/>
    </row>
    <row r="123" spans="1:13" s="174" customFormat="1" ht="30" customHeight="1" thickBot="1" x14ac:dyDescent="0.5">
      <c r="A123" s="177" t="s">
        <v>155</v>
      </c>
      <c r="B123" s="172"/>
      <c r="C123" s="200"/>
      <c r="D123" s="200"/>
      <c r="E123" s="173"/>
      <c r="I123" s="201"/>
      <c r="J123" s="201"/>
    </row>
    <row r="124" spans="1:13" ht="30" customHeight="1" thickTop="1" x14ac:dyDescent="0.45">
      <c r="A124" s="178" t="s">
        <v>156</v>
      </c>
      <c r="B124" s="202">
        <v>27</v>
      </c>
      <c r="C124" s="203">
        <v>600</v>
      </c>
      <c r="D124" s="204">
        <f>PRODUCT(C124,B124)</f>
        <v>16200</v>
      </c>
      <c r="E124" s="205"/>
    </row>
    <row r="125" spans="1:13" ht="30" customHeight="1" x14ac:dyDescent="0.45">
      <c r="A125" s="178" t="s">
        <v>157</v>
      </c>
      <c r="B125" s="206">
        <v>1</v>
      </c>
      <c r="C125" s="207">
        <v>850</v>
      </c>
      <c r="D125" s="208">
        <f>PRODUCT(C125,B125)</f>
        <v>850</v>
      </c>
      <c r="E125" s="205"/>
      <c r="H125" s="261"/>
      <c r="I125" s="262"/>
      <c r="J125" s="262"/>
      <c r="K125" s="263"/>
      <c r="L125" s="263"/>
      <c r="M125" s="263"/>
    </row>
    <row r="126" spans="1:13" ht="30" customHeight="1" x14ac:dyDescent="0.45">
      <c r="A126" s="179"/>
      <c r="D126" s="241">
        <f>SUM(D124:D125)</f>
        <v>17050</v>
      </c>
    </row>
    <row r="127" spans="1:13" ht="30" customHeight="1" x14ac:dyDescent="0.45">
      <c r="B127" s="229"/>
      <c r="C127" s="230"/>
      <c r="D127" s="231"/>
    </row>
    <row r="128" spans="1:13" s="174" customFormat="1" ht="30" customHeight="1" thickBot="1" x14ac:dyDescent="0.5">
      <c r="A128" s="160" t="s">
        <v>190</v>
      </c>
      <c r="B128" s="249"/>
      <c r="C128" s="250"/>
      <c r="D128" s="250"/>
      <c r="E128" s="251"/>
      <c r="I128" s="201"/>
      <c r="J128" s="201"/>
    </row>
    <row r="129" spans="1:10" ht="30" customHeight="1" thickTop="1" x14ac:dyDescent="0.45">
      <c r="A129" s="179" t="s">
        <v>191</v>
      </c>
      <c r="B129" s="165">
        <v>5</v>
      </c>
      <c r="C129" s="246">
        <v>52</v>
      </c>
      <c r="D129" s="247">
        <f>PRODUCT(B129:C129)</f>
        <v>260</v>
      </c>
    </row>
    <row r="130" spans="1:10" ht="30" customHeight="1" x14ac:dyDescent="0.45">
      <c r="A130" s="179" t="s">
        <v>192</v>
      </c>
      <c r="B130" s="166">
        <v>20</v>
      </c>
      <c r="C130" s="240">
        <v>6.5</v>
      </c>
      <c r="D130" s="241">
        <f>PRODUCT(B130:C130)</f>
        <v>130</v>
      </c>
    </row>
    <row r="131" spans="1:10" ht="30" customHeight="1" x14ac:dyDescent="0.45">
      <c r="A131" s="179"/>
    </row>
    <row r="132" spans="1:10" ht="30" customHeight="1" x14ac:dyDescent="0.45">
      <c r="A132" s="179"/>
      <c r="D132" s="241">
        <f>SUM(D129:D131)</f>
        <v>390</v>
      </c>
    </row>
    <row r="133" spans="1:10" ht="30" customHeight="1" x14ac:dyDescent="0.45">
      <c r="B133" s="229"/>
      <c r="C133" s="230"/>
      <c r="D133" s="231"/>
    </row>
    <row r="134" spans="1:10" s="174" customFormat="1" ht="30" customHeight="1" thickBot="1" x14ac:dyDescent="0.5">
      <c r="A134" s="160" t="s">
        <v>173</v>
      </c>
      <c r="B134" s="249"/>
      <c r="C134" s="250"/>
      <c r="D134" s="250"/>
      <c r="E134" s="251"/>
      <c r="I134" s="201"/>
      <c r="J134" s="201"/>
    </row>
    <row r="135" spans="1:10" ht="30" customHeight="1" thickTop="1" x14ac:dyDescent="0.45">
      <c r="A135" s="179" t="s">
        <v>180</v>
      </c>
      <c r="B135" s="165"/>
      <c r="C135" s="246"/>
      <c r="D135" s="247"/>
    </row>
    <row r="136" spans="1:10" ht="30" customHeight="1" x14ac:dyDescent="0.45">
      <c r="A136" s="179" t="s">
        <v>179</v>
      </c>
      <c r="B136" s="166">
        <v>10</v>
      </c>
      <c r="C136" s="240">
        <v>395</v>
      </c>
      <c r="D136" s="241">
        <f t="shared" ref="D136:D141" si="3">PRODUCT(B136:C136)</f>
        <v>3950</v>
      </c>
    </row>
    <row r="137" spans="1:10" ht="30" customHeight="1" x14ac:dyDescent="0.45">
      <c r="A137" s="179" t="s">
        <v>178</v>
      </c>
      <c r="B137" s="166">
        <v>10</v>
      </c>
      <c r="C137" s="240">
        <v>375</v>
      </c>
      <c r="D137" s="241">
        <f t="shared" si="3"/>
        <v>3750</v>
      </c>
    </row>
    <row r="138" spans="1:10" ht="30" customHeight="1" x14ac:dyDescent="0.45">
      <c r="A138" s="179" t="s">
        <v>177</v>
      </c>
      <c r="B138" s="166">
        <v>10</v>
      </c>
      <c r="C138" s="240">
        <v>85</v>
      </c>
      <c r="D138" s="241">
        <f t="shared" si="3"/>
        <v>850</v>
      </c>
    </row>
    <row r="139" spans="1:10" ht="30" customHeight="1" x14ac:dyDescent="0.45">
      <c r="A139" s="179" t="s">
        <v>176</v>
      </c>
      <c r="B139" s="166">
        <v>20</v>
      </c>
      <c r="C139" s="240">
        <v>85</v>
      </c>
      <c r="D139" s="241">
        <f t="shared" si="3"/>
        <v>1700</v>
      </c>
    </row>
    <row r="140" spans="1:10" ht="30" customHeight="1" x14ac:dyDescent="0.45">
      <c r="A140" s="179" t="s">
        <v>175</v>
      </c>
      <c r="B140" s="166">
        <v>5</v>
      </c>
      <c r="C140" s="240">
        <v>1250</v>
      </c>
      <c r="D140" s="241">
        <f t="shared" si="3"/>
        <v>6250</v>
      </c>
    </row>
    <row r="141" spans="1:10" ht="30" customHeight="1" x14ac:dyDescent="0.45">
      <c r="A141" s="179" t="s">
        <v>174</v>
      </c>
      <c r="B141" s="166">
        <v>5</v>
      </c>
      <c r="C141" s="240">
        <v>550</v>
      </c>
      <c r="D141" s="241">
        <f t="shared" si="3"/>
        <v>2750</v>
      </c>
    </row>
    <row r="142" spans="1:10" ht="30" customHeight="1" x14ac:dyDescent="0.45">
      <c r="A142" s="179"/>
      <c r="D142" s="241">
        <f>SUM(D136:D141)</f>
        <v>19250</v>
      </c>
    </row>
    <row r="143" spans="1:10" ht="30" customHeight="1" x14ac:dyDescent="0.45">
      <c r="A143" s="179"/>
    </row>
    <row r="144" spans="1:10" ht="30" customHeight="1" x14ac:dyDescent="0.45">
      <c r="A144" s="179" t="s">
        <v>181</v>
      </c>
    </row>
    <row r="145" spans="1:10" ht="30" customHeight="1" x14ac:dyDescent="0.45">
      <c r="A145" s="179" t="s">
        <v>189</v>
      </c>
      <c r="B145" s="166">
        <v>70</v>
      </c>
      <c r="C145" s="240">
        <v>98</v>
      </c>
      <c r="D145" s="241">
        <f t="shared" ref="D145:D153" si="4">PRODUCT(B145:C145)</f>
        <v>6860</v>
      </c>
    </row>
    <row r="146" spans="1:10" ht="30" customHeight="1" x14ac:dyDescent="0.45">
      <c r="A146" s="179" t="s">
        <v>182</v>
      </c>
      <c r="B146" s="166">
        <v>500</v>
      </c>
      <c r="C146" s="240">
        <v>15</v>
      </c>
      <c r="D146" s="241">
        <f t="shared" si="4"/>
        <v>7500</v>
      </c>
    </row>
    <row r="147" spans="1:10" ht="30" customHeight="1" x14ac:dyDescent="0.45">
      <c r="A147" s="179" t="s">
        <v>183</v>
      </c>
      <c r="B147" s="166">
        <v>46</v>
      </c>
      <c r="C147" s="240">
        <v>106</v>
      </c>
      <c r="D147" s="241">
        <f t="shared" si="4"/>
        <v>4876</v>
      </c>
    </row>
    <row r="148" spans="1:10" ht="30" customHeight="1" x14ac:dyDescent="0.45">
      <c r="A148" s="179" t="s">
        <v>184</v>
      </c>
      <c r="B148" s="166">
        <v>8</v>
      </c>
      <c r="C148" s="240">
        <v>650</v>
      </c>
      <c r="D148" s="241">
        <f t="shared" si="4"/>
        <v>5200</v>
      </c>
    </row>
    <row r="149" spans="1:10" ht="30" customHeight="1" x14ac:dyDescent="0.45">
      <c r="A149" s="179" t="s">
        <v>185</v>
      </c>
      <c r="B149" s="166">
        <v>3</v>
      </c>
      <c r="C149" s="240">
        <v>1450</v>
      </c>
      <c r="D149" s="241">
        <f t="shared" si="4"/>
        <v>4350</v>
      </c>
    </row>
    <row r="150" spans="1:10" ht="30" customHeight="1" x14ac:dyDescent="0.45">
      <c r="A150" s="179" t="s">
        <v>186</v>
      </c>
      <c r="B150" s="166">
        <v>30</v>
      </c>
      <c r="C150" s="240">
        <v>400</v>
      </c>
      <c r="D150" s="241">
        <f t="shared" si="4"/>
        <v>12000</v>
      </c>
    </row>
    <row r="151" spans="1:10" ht="30" customHeight="1" x14ac:dyDescent="0.45">
      <c r="A151" s="179" t="s">
        <v>187</v>
      </c>
      <c r="B151" s="166">
        <v>8</v>
      </c>
      <c r="C151" s="240">
        <v>1350</v>
      </c>
      <c r="D151" s="241">
        <f t="shared" si="4"/>
        <v>10800</v>
      </c>
    </row>
    <row r="152" spans="1:10" ht="30" customHeight="1" x14ac:dyDescent="0.45">
      <c r="A152" s="179" t="s">
        <v>188</v>
      </c>
      <c r="B152" s="166">
        <v>3</v>
      </c>
      <c r="C152" s="240">
        <v>1250</v>
      </c>
      <c r="D152" s="241">
        <f t="shared" si="4"/>
        <v>3750</v>
      </c>
    </row>
    <row r="153" spans="1:10" ht="30" customHeight="1" x14ac:dyDescent="0.45">
      <c r="A153" s="179" t="s">
        <v>193</v>
      </c>
      <c r="B153" s="166">
        <v>8</v>
      </c>
      <c r="C153" s="240">
        <v>1250</v>
      </c>
      <c r="D153" s="241">
        <f t="shared" si="4"/>
        <v>10000</v>
      </c>
    </row>
    <row r="154" spans="1:10" ht="30" customHeight="1" x14ac:dyDescent="0.45">
      <c r="A154" s="179"/>
      <c r="D154" s="241">
        <f>SUM(D145:D153)</f>
        <v>65336</v>
      </c>
    </row>
    <row r="155" spans="1:10" ht="30" customHeight="1" x14ac:dyDescent="0.45">
      <c r="B155" s="229"/>
      <c r="C155" s="230"/>
      <c r="D155" s="231"/>
    </row>
    <row r="156" spans="1:10" s="174" customFormat="1" ht="30" customHeight="1" thickBot="1" x14ac:dyDescent="0.5">
      <c r="A156" s="160" t="s">
        <v>210</v>
      </c>
      <c r="B156" s="249"/>
      <c r="C156" s="250"/>
      <c r="D156" s="250"/>
      <c r="E156" s="251"/>
      <c r="I156" s="201"/>
      <c r="J156" s="201"/>
    </row>
    <row r="157" spans="1:10" ht="30" customHeight="1" thickTop="1" x14ac:dyDescent="0.45">
      <c r="A157" s="163" t="s">
        <v>194</v>
      </c>
      <c r="B157" s="165">
        <v>1</v>
      </c>
      <c r="C157" s="246">
        <v>256</v>
      </c>
      <c r="D157" s="247"/>
    </row>
    <row r="158" spans="1:10" ht="30" customHeight="1" x14ac:dyDescent="0.45">
      <c r="A158" s="163" t="s">
        <v>195</v>
      </c>
    </row>
    <row r="159" spans="1:10" ht="30" customHeight="1" x14ac:dyDescent="0.45">
      <c r="A159" s="163" t="s">
        <v>196</v>
      </c>
      <c r="B159" s="166">
        <v>17</v>
      </c>
    </row>
    <row r="160" spans="1:10" ht="30" customHeight="1" x14ac:dyDescent="0.45">
      <c r="B160" s="229"/>
      <c r="C160" s="230"/>
      <c r="D160" s="231"/>
    </row>
    <row r="161" spans="1:10" s="174" customFormat="1" ht="30" customHeight="1" thickBot="1" x14ac:dyDescent="0.5">
      <c r="A161" s="160" t="s">
        <v>211</v>
      </c>
      <c r="B161" s="249"/>
      <c r="C161" s="250"/>
      <c r="D161" s="250"/>
      <c r="E161" s="251"/>
      <c r="I161" s="201"/>
      <c r="J161" s="201"/>
    </row>
    <row r="162" spans="1:10" ht="30" customHeight="1" thickTop="1" x14ac:dyDescent="0.45">
      <c r="A162" s="179" t="s">
        <v>203</v>
      </c>
      <c r="B162" s="165">
        <v>5</v>
      </c>
      <c r="C162" s="246">
        <v>1970</v>
      </c>
      <c r="D162" s="247">
        <f>PRODUCT(B162:C162)</f>
        <v>9850</v>
      </c>
    </row>
    <row r="163" spans="1:10" ht="30" customHeight="1" x14ac:dyDescent="0.45">
      <c r="A163" s="179" t="s">
        <v>204</v>
      </c>
      <c r="B163" s="166">
        <v>5</v>
      </c>
      <c r="C163" s="240">
        <v>1970</v>
      </c>
      <c r="D163" s="241">
        <f>PRODUCT(B163:C163)</f>
        <v>9850</v>
      </c>
    </row>
    <row r="164" spans="1:10" ht="30" customHeight="1" x14ac:dyDescent="0.45">
      <c r="A164" s="179" t="s">
        <v>205</v>
      </c>
      <c r="B164" s="166">
        <v>8</v>
      </c>
      <c r="C164" s="240">
        <v>1970</v>
      </c>
      <c r="D164" s="241">
        <f>PRODUCT(B164:C164)</f>
        <v>15760</v>
      </c>
    </row>
    <row r="165" spans="1:10" ht="30" customHeight="1" x14ac:dyDescent="0.45">
      <c r="A165" s="179"/>
      <c r="B165" s="229"/>
      <c r="C165" s="230"/>
      <c r="D165" s="231">
        <f>SUM(D162:D164)</f>
        <v>35460</v>
      </c>
    </row>
    <row r="166" spans="1:10" s="174" customFormat="1" ht="30" customHeight="1" thickBot="1" x14ac:dyDescent="0.5">
      <c r="A166" s="160" t="s">
        <v>197</v>
      </c>
      <c r="B166" s="249"/>
      <c r="C166" s="250"/>
      <c r="D166" s="250"/>
      <c r="E166" s="251"/>
      <c r="I166" s="201"/>
      <c r="J166" s="201"/>
    </row>
    <row r="167" spans="1:10" ht="30" customHeight="1" thickTop="1" x14ac:dyDescent="0.45">
      <c r="A167" s="179" t="s">
        <v>198</v>
      </c>
      <c r="B167" s="165">
        <v>26</v>
      </c>
      <c r="C167" s="246">
        <v>29.5</v>
      </c>
      <c r="D167" s="247">
        <f>PRODUCT(B167:C167)</f>
        <v>767</v>
      </c>
    </row>
    <row r="168" spans="1:10" ht="30" customHeight="1" x14ac:dyDescent="0.45">
      <c r="A168" s="179" t="s">
        <v>199</v>
      </c>
      <c r="B168" s="166">
        <v>26</v>
      </c>
      <c r="C168" s="240">
        <v>23.5</v>
      </c>
      <c r="D168" s="241">
        <f>PRODUCT(B168:C168)</f>
        <v>611</v>
      </c>
    </row>
    <row r="169" spans="1:10" ht="30" customHeight="1" x14ac:dyDescent="0.45">
      <c r="A169" s="179" t="s">
        <v>200</v>
      </c>
      <c r="B169" s="166">
        <v>66</v>
      </c>
      <c r="C169" s="240">
        <v>15.5</v>
      </c>
      <c r="D169" s="241">
        <f>PRODUCT(B169:C169)</f>
        <v>1023</v>
      </c>
    </row>
    <row r="170" spans="1:10" ht="30" customHeight="1" x14ac:dyDescent="0.45">
      <c r="A170" s="179" t="s">
        <v>201</v>
      </c>
      <c r="B170" s="166">
        <v>46</v>
      </c>
      <c r="C170" s="240">
        <v>12.5</v>
      </c>
      <c r="D170" s="241">
        <f>PRODUCT(B170:C170)</f>
        <v>575</v>
      </c>
      <c r="E170" s="232">
        <f>D169+D170</f>
        <v>1598</v>
      </c>
    </row>
    <row r="171" spans="1:10" ht="30" customHeight="1" x14ac:dyDescent="0.45">
      <c r="A171" s="179" t="s">
        <v>200</v>
      </c>
      <c r="B171" s="166">
        <v>10</v>
      </c>
      <c r="C171" s="240">
        <v>15.5</v>
      </c>
      <c r="D171" s="241">
        <f>PRODUCT(B171:C171)</f>
        <v>155</v>
      </c>
    </row>
    <row r="174" spans="1:10" ht="30" customHeight="1" x14ac:dyDescent="0.45">
      <c r="B174" s="229"/>
      <c r="C174" s="230"/>
      <c r="D174" s="231"/>
    </row>
    <row r="175" spans="1:10" s="174" customFormat="1" ht="30" customHeight="1" thickBot="1" x14ac:dyDescent="0.5">
      <c r="A175" s="160" t="s">
        <v>257</v>
      </c>
      <c r="B175" s="249"/>
      <c r="C175" s="250"/>
      <c r="D175" s="250"/>
      <c r="E175" s="251"/>
      <c r="I175" s="201"/>
      <c r="J175" s="201"/>
    </row>
    <row r="176" spans="1:10" ht="30" customHeight="1" thickTop="1" x14ac:dyDescent="0.45">
      <c r="A176" s="163" t="s">
        <v>207</v>
      </c>
      <c r="B176" s="257">
        <v>55</v>
      </c>
      <c r="C176" s="246">
        <v>65</v>
      </c>
      <c r="D176" s="204">
        <f>C176*B176</f>
        <v>3575</v>
      </c>
    </row>
    <row r="177" spans="1:10" ht="30" customHeight="1" x14ac:dyDescent="0.45">
      <c r="A177" s="163" t="s">
        <v>208</v>
      </c>
      <c r="B177" s="248">
        <v>25</v>
      </c>
      <c r="C177" s="240">
        <v>59</v>
      </c>
      <c r="D177" s="208">
        <f>C177*B177</f>
        <v>1475</v>
      </c>
    </row>
    <row r="178" spans="1:10" ht="30" customHeight="1" x14ac:dyDescent="0.45">
      <c r="A178" s="163" t="s">
        <v>202</v>
      </c>
      <c r="B178" s="248">
        <v>60</v>
      </c>
      <c r="C178" s="240">
        <v>15</v>
      </c>
      <c r="D178" s="208">
        <f>C178*B178</f>
        <v>900</v>
      </c>
    </row>
    <row r="179" spans="1:10" ht="30" customHeight="1" x14ac:dyDescent="0.45">
      <c r="A179" s="163" t="s">
        <v>209</v>
      </c>
      <c r="B179" s="248">
        <v>11</v>
      </c>
      <c r="C179" s="240">
        <v>550</v>
      </c>
      <c r="D179" s="208">
        <f>C179*B179</f>
        <v>6050</v>
      </c>
      <c r="E179" s="205"/>
    </row>
    <row r="180" spans="1:10" ht="30" customHeight="1" x14ac:dyDescent="0.45">
      <c r="D180" s="241">
        <f>SUM(D176:D179)</f>
        <v>12000</v>
      </c>
      <c r="E180" s="205"/>
    </row>
    <row r="181" spans="1:10" ht="30" customHeight="1" x14ac:dyDescent="0.45">
      <c r="B181" s="229"/>
      <c r="C181" s="230"/>
      <c r="D181" s="231"/>
      <c r="E181" s="205"/>
    </row>
    <row r="182" spans="1:10" s="174" customFormat="1" ht="30" customHeight="1" thickBot="1" x14ac:dyDescent="0.5">
      <c r="A182" s="160" t="s">
        <v>225</v>
      </c>
      <c r="B182" s="249"/>
      <c r="C182" s="250"/>
      <c r="D182" s="250"/>
      <c r="E182" s="173"/>
      <c r="I182" s="201"/>
      <c r="J182" s="201"/>
    </row>
    <row r="183" spans="1:10" s="264" customFormat="1" ht="30" customHeight="1" thickTop="1" x14ac:dyDescent="0.45">
      <c r="A183" s="179" t="s">
        <v>226</v>
      </c>
      <c r="B183" s="165">
        <v>7</v>
      </c>
      <c r="C183" s="246">
        <v>375</v>
      </c>
      <c r="D183" s="204">
        <f>C183*B183</f>
        <v>2625</v>
      </c>
      <c r="E183" s="232"/>
      <c r="H183" s="265"/>
      <c r="I183" s="266"/>
      <c r="J183" s="266"/>
    </row>
    <row r="184" spans="1:10" ht="30" customHeight="1" x14ac:dyDescent="0.45">
      <c r="B184" s="229"/>
      <c r="C184" s="230"/>
      <c r="D184" s="231"/>
    </row>
    <row r="185" spans="1:10" s="174" customFormat="1" ht="30" customHeight="1" thickBot="1" x14ac:dyDescent="0.5">
      <c r="A185" s="160" t="s">
        <v>219</v>
      </c>
      <c r="B185" s="249"/>
      <c r="C185" s="250"/>
      <c r="D185" s="250"/>
      <c r="E185" s="251"/>
      <c r="I185" s="201"/>
      <c r="J185" s="201"/>
    </row>
    <row r="186" spans="1:10" ht="30" customHeight="1" thickTop="1" x14ac:dyDescent="0.45">
      <c r="A186" s="179" t="s">
        <v>220</v>
      </c>
      <c r="B186" s="165"/>
      <c r="C186" s="246"/>
      <c r="D186" s="247"/>
    </row>
    <row r="187" spans="1:10" ht="30" customHeight="1" x14ac:dyDescent="0.45">
      <c r="A187" s="179" t="s">
        <v>221</v>
      </c>
    </row>
    <row r="188" spans="1:10" ht="30" customHeight="1" x14ac:dyDescent="0.45">
      <c r="B188" s="229"/>
      <c r="C188" s="230"/>
      <c r="D188" s="231"/>
    </row>
    <row r="189" spans="1:10" s="174" customFormat="1" ht="30" customHeight="1" thickBot="1" x14ac:dyDescent="0.5">
      <c r="A189" s="160" t="s">
        <v>259</v>
      </c>
      <c r="B189" s="249"/>
      <c r="C189" s="250"/>
      <c r="D189" s="250"/>
      <c r="E189" s="251"/>
      <c r="I189" s="201"/>
      <c r="J189" s="201"/>
    </row>
    <row r="190" spans="1:10" ht="30" customHeight="1" thickTop="1" x14ac:dyDescent="0.45">
      <c r="A190" s="179" t="s">
        <v>228</v>
      </c>
      <c r="B190" s="165">
        <v>2</v>
      </c>
      <c r="C190" s="246">
        <v>1496</v>
      </c>
      <c r="D190" s="247">
        <f>PRODUCT(B190:C190)</f>
        <v>2992</v>
      </c>
    </row>
    <row r="191" spans="1:10" ht="30" customHeight="1" x14ac:dyDescent="0.45">
      <c r="A191" s="179" t="s">
        <v>227</v>
      </c>
      <c r="B191" s="166">
        <v>30</v>
      </c>
      <c r="C191" s="240">
        <v>776</v>
      </c>
      <c r="D191" s="241">
        <f>PRODUCT(B191:C191)</f>
        <v>23280</v>
      </c>
    </row>
    <row r="192" spans="1:10" ht="30" customHeight="1" x14ac:dyDescent="0.45">
      <c r="A192" s="179" t="s">
        <v>229</v>
      </c>
      <c r="B192" s="166">
        <v>1</v>
      </c>
      <c r="C192" s="240">
        <v>550</v>
      </c>
      <c r="D192" s="241">
        <f>PRODUCT(B192:C192)</f>
        <v>550</v>
      </c>
    </row>
    <row r="193" spans="1:10" ht="30" customHeight="1" x14ac:dyDescent="0.45">
      <c r="A193" s="179"/>
      <c r="D193" s="241">
        <f>SUM(D189:D192)</f>
        <v>26822</v>
      </c>
    </row>
    <row r="194" spans="1:10" ht="30" customHeight="1" x14ac:dyDescent="0.45">
      <c r="B194" s="229"/>
      <c r="C194" s="230"/>
      <c r="D194" s="231"/>
    </row>
    <row r="195" spans="1:10" s="174" customFormat="1" ht="30" customHeight="1" thickBot="1" x14ac:dyDescent="0.5">
      <c r="A195" s="160" t="s">
        <v>235</v>
      </c>
      <c r="B195" s="267">
        <v>46174</v>
      </c>
      <c r="C195" s="250"/>
      <c r="D195" s="250"/>
      <c r="E195" s="251"/>
      <c r="I195" s="201"/>
      <c r="J195" s="201"/>
    </row>
    <row r="196" spans="1:10" ht="30" customHeight="1" thickTop="1" x14ac:dyDescent="0.45">
      <c r="A196" s="178" t="s">
        <v>232</v>
      </c>
      <c r="B196" s="257">
        <v>200</v>
      </c>
      <c r="C196" s="246">
        <v>32</v>
      </c>
      <c r="D196" s="247">
        <f>PRODUCT(B196:C196)</f>
        <v>6400</v>
      </c>
    </row>
    <row r="197" spans="1:10" ht="30" customHeight="1" x14ac:dyDescent="0.45">
      <c r="A197" s="178" t="s">
        <v>233</v>
      </c>
      <c r="B197" s="248">
        <v>3</v>
      </c>
      <c r="C197" s="240">
        <v>1000</v>
      </c>
      <c r="D197" s="241">
        <f>PRODUCT(B197:C197)</f>
        <v>3000</v>
      </c>
    </row>
    <row r="198" spans="1:10" ht="30" customHeight="1" x14ac:dyDescent="0.45">
      <c r="A198" s="178" t="s">
        <v>234</v>
      </c>
      <c r="B198" s="248">
        <v>3</v>
      </c>
      <c r="C198" s="240">
        <v>383</v>
      </c>
      <c r="D198" s="241">
        <f>PRODUCT(B198:C198)</f>
        <v>1149</v>
      </c>
    </row>
    <row r="199" spans="1:10" ht="30" customHeight="1" x14ac:dyDescent="0.45">
      <c r="A199" s="178" t="s">
        <v>118</v>
      </c>
      <c r="B199" s="248">
        <v>3</v>
      </c>
      <c r="C199" s="240">
        <v>950</v>
      </c>
      <c r="D199" s="241">
        <f>PRODUCT(B199:C199)</f>
        <v>2850</v>
      </c>
    </row>
    <row r="200" spans="1:10" ht="30" customHeight="1" x14ac:dyDescent="0.45">
      <c r="A200" s="179" t="s">
        <v>260</v>
      </c>
      <c r="B200" s="166">
        <v>1</v>
      </c>
      <c r="C200" s="240">
        <v>1601</v>
      </c>
      <c r="D200" s="241">
        <f>PRODUCT(B200:C200)</f>
        <v>1601</v>
      </c>
    </row>
    <row r="201" spans="1:10" ht="30" customHeight="1" x14ac:dyDescent="0.45">
      <c r="A201" s="179"/>
      <c r="B201" s="229"/>
      <c r="C201" s="230"/>
      <c r="D201" s="231">
        <f>SUM(D196:D200)</f>
        <v>15000</v>
      </c>
    </row>
    <row r="202" spans="1:10" s="174" customFormat="1" ht="30" customHeight="1" thickBot="1" x14ac:dyDescent="0.5">
      <c r="A202" s="160" t="s">
        <v>239</v>
      </c>
      <c r="B202" s="267">
        <v>46164</v>
      </c>
      <c r="C202" s="250"/>
      <c r="D202" s="250"/>
      <c r="E202" s="251"/>
      <c r="I202" s="201"/>
      <c r="J202" s="201"/>
    </row>
    <row r="203" spans="1:10" ht="30" customHeight="1" thickTop="1" x14ac:dyDescent="0.45">
      <c r="A203" s="268" t="s">
        <v>236</v>
      </c>
      <c r="B203" s="269">
        <v>2</v>
      </c>
      <c r="C203" s="270">
        <v>110</v>
      </c>
      <c r="D203" s="270"/>
      <c r="E203" s="270"/>
    </row>
    <row r="204" spans="1:10" ht="30" customHeight="1" x14ac:dyDescent="0.45">
      <c r="A204" s="268" t="s">
        <v>237</v>
      </c>
      <c r="B204" s="269">
        <v>1</v>
      </c>
      <c r="C204" s="270">
        <v>85</v>
      </c>
      <c r="D204" s="270"/>
      <c r="E204" s="270"/>
    </row>
    <row r="205" spans="1:10" ht="30" customHeight="1" x14ac:dyDescent="0.45">
      <c r="A205" s="268" t="s">
        <v>238</v>
      </c>
      <c r="B205" s="269">
        <v>1</v>
      </c>
      <c r="C205" s="270">
        <v>65</v>
      </c>
      <c r="D205" s="270"/>
      <c r="E205" s="270"/>
    </row>
    <row r="206" spans="1:10" ht="30" customHeight="1" x14ac:dyDescent="0.45">
      <c r="A206" s="268" t="s">
        <v>273</v>
      </c>
      <c r="B206" s="269">
        <v>15</v>
      </c>
      <c r="C206" s="270">
        <v>85</v>
      </c>
      <c r="D206" s="270"/>
      <c r="E206" s="270"/>
    </row>
    <row r="207" spans="1:10" ht="30" customHeight="1" x14ac:dyDescent="0.45">
      <c r="A207" s="268" t="s">
        <v>258</v>
      </c>
      <c r="B207" s="269">
        <v>30</v>
      </c>
      <c r="C207" s="270">
        <v>385</v>
      </c>
      <c r="D207" s="270"/>
      <c r="E207" s="270"/>
    </row>
    <row r="208" spans="1:10" ht="30" customHeight="1" x14ac:dyDescent="0.45">
      <c r="B208" s="229"/>
      <c r="C208" s="230"/>
      <c r="D208" s="231"/>
    </row>
    <row r="209" spans="1:10" s="174" customFormat="1" ht="30" customHeight="1" thickBot="1" x14ac:dyDescent="0.5">
      <c r="A209" s="160" t="s">
        <v>269</v>
      </c>
      <c r="B209" s="249"/>
      <c r="C209" s="250"/>
      <c r="D209" s="250"/>
      <c r="E209" s="251"/>
      <c r="I209" s="201"/>
      <c r="J209" s="201"/>
    </row>
    <row r="210" spans="1:10" ht="30" customHeight="1" thickTop="1" x14ac:dyDescent="0.45">
      <c r="A210" s="163" t="s">
        <v>275</v>
      </c>
      <c r="B210" s="165">
        <v>80</v>
      </c>
      <c r="C210" s="246">
        <v>175</v>
      </c>
      <c r="D210" s="247">
        <f>PRODUCT(B210:C210)</f>
        <v>14000</v>
      </c>
    </row>
    <row r="211" spans="1:10" ht="30" customHeight="1" x14ac:dyDescent="0.45">
      <c r="A211" s="163" t="s">
        <v>270</v>
      </c>
      <c r="B211" s="166">
        <v>27</v>
      </c>
      <c r="C211" s="240">
        <v>1090</v>
      </c>
    </row>
    <row r="213" spans="1:10" s="174" customFormat="1" ht="30" customHeight="1" thickBot="1" x14ac:dyDescent="0.5">
      <c r="A213" s="160" t="s">
        <v>240</v>
      </c>
      <c r="B213" s="249"/>
      <c r="C213" s="250"/>
      <c r="D213" s="250"/>
      <c r="E213" s="251"/>
      <c r="I213" s="201"/>
      <c r="J213" s="201"/>
    </row>
    <row r="214" spans="1:10" ht="30" customHeight="1" thickTop="1" x14ac:dyDescent="0.45">
      <c r="A214" s="163" t="s">
        <v>241</v>
      </c>
      <c r="B214" s="165">
        <v>9</v>
      </c>
      <c r="C214" s="246">
        <v>40</v>
      </c>
      <c r="D214" s="247">
        <f t="shared" ref="D214:D223" si="5">PRODUCT(B214:C214)</f>
        <v>360</v>
      </c>
      <c r="H214" s="312"/>
    </row>
    <row r="215" spans="1:10" ht="30" customHeight="1" x14ac:dyDescent="0.45">
      <c r="A215" s="163" t="s">
        <v>93</v>
      </c>
      <c r="B215" s="166">
        <v>9</v>
      </c>
      <c r="C215" s="240">
        <v>375</v>
      </c>
      <c r="D215" s="241">
        <f t="shared" si="5"/>
        <v>3375</v>
      </c>
      <c r="H215" s="313"/>
    </row>
    <row r="216" spans="1:10" ht="30" customHeight="1" x14ac:dyDescent="0.45">
      <c r="A216" s="163" t="s">
        <v>242</v>
      </c>
      <c r="B216" s="166">
        <v>3</v>
      </c>
      <c r="C216" s="240">
        <v>395</v>
      </c>
      <c r="D216" s="241">
        <f t="shared" si="5"/>
        <v>1185</v>
      </c>
      <c r="H216" s="313"/>
    </row>
    <row r="217" spans="1:10" ht="30" customHeight="1" x14ac:dyDescent="0.45">
      <c r="A217" s="163" t="s">
        <v>244</v>
      </c>
      <c r="B217" s="166">
        <v>3</v>
      </c>
      <c r="C217" s="240">
        <v>650</v>
      </c>
      <c r="D217" s="241">
        <f t="shared" si="5"/>
        <v>1950</v>
      </c>
      <c r="H217" s="313"/>
    </row>
    <row r="218" spans="1:10" ht="30" customHeight="1" x14ac:dyDescent="0.45">
      <c r="A218" s="163" t="s">
        <v>243</v>
      </c>
      <c r="B218" s="166">
        <v>3</v>
      </c>
      <c r="C218" s="240">
        <v>270</v>
      </c>
      <c r="D218" s="241">
        <f t="shared" si="5"/>
        <v>810</v>
      </c>
      <c r="H218" s="313"/>
    </row>
    <row r="219" spans="1:10" ht="30" customHeight="1" x14ac:dyDescent="0.45">
      <c r="A219" s="163" t="s">
        <v>245</v>
      </c>
      <c r="B219" s="166">
        <v>9</v>
      </c>
      <c r="C219" s="240">
        <v>85</v>
      </c>
      <c r="D219" s="241">
        <f t="shared" si="5"/>
        <v>765</v>
      </c>
      <c r="H219" s="313"/>
    </row>
    <row r="220" spans="1:10" ht="30" customHeight="1" x14ac:dyDescent="0.45">
      <c r="A220" s="163" t="s">
        <v>246</v>
      </c>
      <c r="B220" s="166">
        <v>10</v>
      </c>
      <c r="C220" s="240">
        <v>85</v>
      </c>
      <c r="D220" s="241">
        <f t="shared" si="5"/>
        <v>850</v>
      </c>
      <c r="H220" s="313"/>
    </row>
    <row r="221" spans="1:10" ht="30" customHeight="1" x14ac:dyDescent="0.45">
      <c r="A221" s="163" t="s">
        <v>247</v>
      </c>
      <c r="B221" s="166">
        <v>9</v>
      </c>
      <c r="C221" s="240">
        <v>72</v>
      </c>
      <c r="D221" s="241">
        <f t="shared" si="5"/>
        <v>648</v>
      </c>
      <c r="E221" s="232">
        <f>SUM(D214:D221)</f>
        <v>9943</v>
      </c>
      <c r="H221" s="314"/>
      <c r="I221" s="198">
        <v>477</v>
      </c>
      <c r="J221" s="262" t="s">
        <v>104</v>
      </c>
    </row>
    <row r="222" spans="1:10" ht="30" customHeight="1" x14ac:dyDescent="0.45">
      <c r="A222" s="163" t="s">
        <v>248</v>
      </c>
      <c r="B222" s="166">
        <v>15</v>
      </c>
      <c r="C222" s="240">
        <v>785</v>
      </c>
      <c r="D222" s="241">
        <f t="shared" si="5"/>
        <v>11775</v>
      </c>
      <c r="J222" s="271"/>
    </row>
    <row r="223" spans="1:10" ht="30" customHeight="1" x14ac:dyDescent="0.45">
      <c r="A223" s="163" t="s">
        <v>249</v>
      </c>
      <c r="B223" s="166">
        <v>1</v>
      </c>
      <c r="C223" s="240">
        <v>3500</v>
      </c>
      <c r="D223" s="241">
        <f t="shared" si="5"/>
        <v>3500</v>
      </c>
      <c r="E223" s="232">
        <f>SUM(D222:D223)</f>
        <v>15275</v>
      </c>
    </row>
    <row r="225" spans="1:10" ht="30" customHeight="1" x14ac:dyDescent="0.45">
      <c r="B225" s="229"/>
      <c r="C225" s="230"/>
      <c r="D225" s="231"/>
    </row>
    <row r="226" spans="1:10" s="174" customFormat="1" ht="30" customHeight="1" thickBot="1" x14ac:dyDescent="0.5">
      <c r="A226" s="160" t="s">
        <v>250</v>
      </c>
      <c r="B226" s="249"/>
      <c r="C226" s="250"/>
      <c r="D226" s="250"/>
      <c r="E226" s="251"/>
      <c r="I226" s="201"/>
      <c r="J226" s="201"/>
    </row>
    <row r="227" spans="1:10" ht="30" customHeight="1" thickTop="1" x14ac:dyDescent="0.45">
      <c r="A227" s="163" t="s">
        <v>251</v>
      </c>
      <c r="B227" s="165">
        <v>4</v>
      </c>
      <c r="C227" s="246">
        <v>4350</v>
      </c>
      <c r="D227" s="247">
        <f>C227*B227</f>
        <v>17400</v>
      </c>
    </row>
    <row r="228" spans="1:10" ht="30" customHeight="1" x14ac:dyDescent="0.45">
      <c r="A228" s="163" t="s">
        <v>252</v>
      </c>
      <c r="B228" s="166">
        <v>1</v>
      </c>
      <c r="C228" s="244">
        <v>3500</v>
      </c>
      <c r="D228" s="247">
        <f>C228*B228</f>
        <v>3500</v>
      </c>
    </row>
    <row r="229" spans="1:10" ht="30" customHeight="1" x14ac:dyDescent="0.45">
      <c r="B229" s="229"/>
      <c r="C229" s="230"/>
      <c r="D229" s="231"/>
      <c r="E229" s="232">
        <f>SUM(D227:D228)</f>
        <v>20900</v>
      </c>
    </row>
    <row r="231" spans="1:10" s="174" customFormat="1" ht="30" customHeight="1" thickBot="1" x14ac:dyDescent="0.5">
      <c r="A231" s="160" t="s">
        <v>215</v>
      </c>
      <c r="B231" s="249"/>
      <c r="C231" s="250"/>
      <c r="D231" s="250"/>
      <c r="E231" s="251"/>
      <c r="I231" s="201"/>
      <c r="J231" s="201"/>
    </row>
    <row r="232" spans="1:10" ht="30" customHeight="1" thickTop="1" x14ac:dyDescent="0.45">
      <c r="A232" s="163" t="s">
        <v>276</v>
      </c>
      <c r="B232" s="165">
        <v>7</v>
      </c>
      <c r="C232" s="246">
        <v>1100</v>
      </c>
      <c r="D232" s="247">
        <f t="shared" ref="D232:D238" si="6">PRODUCT(B232:C232)</f>
        <v>7700</v>
      </c>
    </row>
    <row r="233" spans="1:10" ht="30" customHeight="1" x14ac:dyDescent="0.45">
      <c r="A233" s="163" t="s">
        <v>277</v>
      </c>
      <c r="B233" s="166">
        <v>7</v>
      </c>
      <c r="C233" s="240">
        <v>340</v>
      </c>
      <c r="D233" s="241">
        <f t="shared" si="6"/>
        <v>2380</v>
      </c>
    </row>
    <row r="234" spans="1:10" ht="30" customHeight="1" x14ac:dyDescent="0.45">
      <c r="A234" s="163" t="s">
        <v>278</v>
      </c>
      <c r="B234" s="166">
        <v>7</v>
      </c>
      <c r="C234" s="240">
        <v>655</v>
      </c>
      <c r="D234" s="241">
        <f t="shared" si="6"/>
        <v>4585</v>
      </c>
    </row>
    <row r="235" spans="1:10" ht="30" customHeight="1" x14ac:dyDescent="0.45">
      <c r="A235" s="163" t="s">
        <v>279</v>
      </c>
      <c r="B235" s="166">
        <v>10000</v>
      </c>
      <c r="C235" s="240">
        <v>0.5</v>
      </c>
      <c r="D235" s="241">
        <f t="shared" si="6"/>
        <v>5000</v>
      </c>
    </row>
    <row r="236" spans="1:10" ht="30" customHeight="1" x14ac:dyDescent="0.45">
      <c r="A236" s="163" t="s">
        <v>280</v>
      </c>
      <c r="B236" s="166">
        <v>1</v>
      </c>
      <c r="C236" s="240">
        <v>100</v>
      </c>
      <c r="D236" s="241">
        <f t="shared" si="6"/>
        <v>100</v>
      </c>
    </row>
    <row r="237" spans="1:10" ht="30" customHeight="1" x14ac:dyDescent="0.45">
      <c r="A237" s="163" t="s">
        <v>274</v>
      </c>
      <c r="B237" s="166">
        <v>9</v>
      </c>
      <c r="C237" s="240">
        <v>1470</v>
      </c>
      <c r="D237" s="241">
        <f t="shared" si="6"/>
        <v>13230</v>
      </c>
    </row>
    <row r="238" spans="1:10" ht="30" customHeight="1" x14ac:dyDescent="0.45">
      <c r="A238" s="163" t="s">
        <v>212</v>
      </c>
      <c r="B238" s="166">
        <v>1</v>
      </c>
      <c r="C238" s="240">
        <v>6075</v>
      </c>
      <c r="D238" s="241">
        <f t="shared" si="6"/>
        <v>6075</v>
      </c>
    </row>
    <row r="239" spans="1:10" ht="30" customHeight="1" x14ac:dyDescent="0.45">
      <c r="A239" s="272"/>
      <c r="B239" s="206"/>
      <c r="C239" s="207"/>
      <c r="D239" s="208"/>
      <c r="E239" s="273">
        <f>SUM(D232:D238)</f>
        <v>39070</v>
      </c>
    </row>
    <row r="240" spans="1:10" ht="30" customHeight="1" x14ac:dyDescent="0.45">
      <c r="B240" s="229"/>
      <c r="C240" s="230"/>
      <c r="D240" s="231"/>
    </row>
    <row r="241" spans="1:10" s="174" customFormat="1" ht="30" customHeight="1" thickBot="1" x14ac:dyDescent="0.5">
      <c r="A241" s="160" t="s">
        <v>265</v>
      </c>
      <c r="B241" s="249"/>
      <c r="C241" s="250"/>
      <c r="D241" s="250"/>
      <c r="E241" s="251"/>
      <c r="I241" s="201"/>
      <c r="J241" s="201"/>
    </row>
    <row r="242" spans="1:10" ht="30" customHeight="1" thickTop="1" x14ac:dyDescent="0.45">
      <c r="A242" s="163" t="s">
        <v>261</v>
      </c>
      <c r="B242" s="165"/>
      <c r="C242" s="242">
        <v>425</v>
      </c>
      <c r="D242" s="247"/>
    </row>
    <row r="243" spans="1:10" ht="30" customHeight="1" x14ac:dyDescent="0.45">
      <c r="A243" s="163" t="s">
        <v>262</v>
      </c>
      <c r="C243" s="244">
        <v>115</v>
      </c>
    </row>
    <row r="244" spans="1:10" ht="30" customHeight="1" x14ac:dyDescent="0.45">
      <c r="A244" s="163" t="s">
        <v>264</v>
      </c>
      <c r="C244" s="244">
        <v>565</v>
      </c>
    </row>
    <row r="245" spans="1:10" ht="30" customHeight="1" x14ac:dyDescent="0.45">
      <c r="A245" s="163" t="s">
        <v>263</v>
      </c>
      <c r="C245" s="244">
        <v>525</v>
      </c>
    </row>
    <row r="246" spans="1:10" ht="30" customHeight="1" x14ac:dyDescent="0.45">
      <c r="D246" s="245">
        <f>SUM(C242:C245)</f>
        <v>1630</v>
      </c>
    </row>
    <row r="247" spans="1:10" ht="30" customHeight="1" x14ac:dyDescent="0.45">
      <c r="B247" s="229"/>
      <c r="C247" s="230"/>
      <c r="D247" s="231"/>
    </row>
    <row r="248" spans="1:10" s="174" customFormat="1" ht="30" customHeight="1" thickBot="1" x14ac:dyDescent="0.5">
      <c r="A248" s="160" t="s">
        <v>266</v>
      </c>
      <c r="B248" s="249"/>
      <c r="C248" s="250"/>
      <c r="D248" s="250"/>
      <c r="E248" s="251"/>
      <c r="I248" s="201"/>
      <c r="J248" s="201"/>
    </row>
    <row r="249" spans="1:10" ht="30" customHeight="1" thickTop="1" x14ac:dyDescent="0.45">
      <c r="A249" s="163" t="s">
        <v>271</v>
      </c>
      <c r="B249" s="165">
        <v>4</v>
      </c>
      <c r="C249" s="246">
        <v>356</v>
      </c>
      <c r="D249" s="247"/>
    </row>
    <row r="250" spans="1:10" ht="30" customHeight="1" x14ac:dyDescent="0.45">
      <c r="A250" s="163" t="s">
        <v>268</v>
      </c>
      <c r="B250" s="166">
        <v>1</v>
      </c>
      <c r="C250" s="240">
        <v>3500</v>
      </c>
    </row>
    <row r="251" spans="1:10" ht="30" customHeight="1" x14ac:dyDescent="0.45">
      <c r="A251" s="163" t="s">
        <v>267</v>
      </c>
      <c r="B251" s="166">
        <v>1</v>
      </c>
      <c r="C251" s="240">
        <v>1370</v>
      </c>
    </row>
    <row r="252" spans="1:10" ht="30" customHeight="1" x14ac:dyDescent="0.45">
      <c r="A252" s="163" t="s">
        <v>272</v>
      </c>
      <c r="B252" s="166">
        <v>1</v>
      </c>
      <c r="C252" s="240">
        <v>4715</v>
      </c>
    </row>
    <row r="253" spans="1:10" ht="30" customHeight="1" x14ac:dyDescent="0.45">
      <c r="B253" s="229"/>
      <c r="C253" s="230"/>
      <c r="D253" s="231"/>
    </row>
    <row r="254" spans="1:10" s="277" customFormat="1" ht="30" customHeight="1" thickBot="1" x14ac:dyDescent="0.5">
      <c r="A254" s="180" t="s">
        <v>222</v>
      </c>
      <c r="B254" s="274"/>
      <c r="C254" s="275"/>
      <c r="D254" s="275"/>
      <c r="E254" s="276"/>
      <c r="I254" s="278"/>
      <c r="J254" s="278"/>
    </row>
    <row r="255" spans="1:10" s="283" customFormat="1" ht="30" customHeight="1" thickTop="1" x14ac:dyDescent="0.45">
      <c r="A255" s="181" t="s">
        <v>348</v>
      </c>
      <c r="B255" s="279">
        <v>1</v>
      </c>
      <c r="C255" s="280">
        <v>1250</v>
      </c>
      <c r="D255" s="281">
        <f>PRODUCT(B255:C255)</f>
        <v>1250</v>
      </c>
      <c r="E255" s="282"/>
      <c r="H255" s="284"/>
      <c r="I255" s="285"/>
      <c r="J255" s="285"/>
    </row>
    <row r="256" spans="1:10" s="283" customFormat="1" ht="30" customHeight="1" x14ac:dyDescent="0.45">
      <c r="A256" s="181" t="s">
        <v>343</v>
      </c>
      <c r="B256" s="286">
        <v>1000</v>
      </c>
      <c r="C256" s="287">
        <v>39.5</v>
      </c>
      <c r="D256" s="287">
        <v>39500</v>
      </c>
      <c r="E256" s="282"/>
      <c r="H256" s="284"/>
      <c r="I256" s="285"/>
      <c r="J256" s="285"/>
    </row>
    <row r="257" spans="1:10" s="283" customFormat="1" ht="30" customHeight="1" x14ac:dyDescent="0.45">
      <c r="A257" s="181" t="s">
        <v>344</v>
      </c>
      <c r="B257" s="286">
        <v>300</v>
      </c>
      <c r="C257" s="287">
        <v>39.5</v>
      </c>
      <c r="D257" s="287">
        <v>11850</v>
      </c>
      <c r="E257" s="282"/>
      <c r="H257" s="284"/>
      <c r="I257" s="285"/>
      <c r="J257" s="285"/>
    </row>
    <row r="258" spans="1:10" s="283" customFormat="1" ht="30" customHeight="1" x14ac:dyDescent="0.45">
      <c r="A258" s="181" t="s">
        <v>345</v>
      </c>
      <c r="B258" s="286">
        <v>300</v>
      </c>
      <c r="C258" s="287">
        <v>39.5</v>
      </c>
      <c r="D258" s="287">
        <v>11850</v>
      </c>
      <c r="E258" s="282"/>
      <c r="H258" s="284"/>
      <c r="I258" s="285"/>
      <c r="J258" s="285"/>
    </row>
    <row r="259" spans="1:10" s="283" customFormat="1" ht="30" customHeight="1" thickBot="1" x14ac:dyDescent="0.5">
      <c r="A259" s="181" t="s">
        <v>346</v>
      </c>
      <c r="B259" s="286">
        <v>400</v>
      </c>
      <c r="C259" s="287">
        <v>39.5</v>
      </c>
      <c r="D259" s="287">
        <v>15800</v>
      </c>
      <c r="E259" s="282"/>
      <c r="H259" s="284"/>
      <c r="I259" s="285"/>
      <c r="J259" s="285"/>
    </row>
    <row r="260" spans="1:10" s="283" customFormat="1" ht="30" customHeight="1" x14ac:dyDescent="0.45">
      <c r="A260" s="181" t="s">
        <v>347</v>
      </c>
      <c r="B260" s="286">
        <v>500</v>
      </c>
      <c r="C260" s="287">
        <v>39.5</v>
      </c>
      <c r="D260" s="287">
        <v>19750</v>
      </c>
      <c r="E260" s="282">
        <f>SUM(D255:D260)</f>
        <v>100000</v>
      </c>
      <c r="H260" s="284"/>
      <c r="I260" s="285" t="s">
        <v>372</v>
      </c>
      <c r="J260" s="288" t="s">
        <v>104</v>
      </c>
    </row>
    <row r="261" spans="1:10" s="283" customFormat="1" ht="30" customHeight="1" x14ac:dyDescent="0.45">
      <c r="A261" s="181"/>
      <c r="B261" s="286"/>
      <c r="C261" s="289"/>
      <c r="D261" s="287"/>
      <c r="E261" s="282"/>
      <c r="H261" s="284"/>
      <c r="I261" s="285"/>
      <c r="J261" s="285"/>
    </row>
    <row r="262" spans="1:10" s="283" customFormat="1" ht="30" customHeight="1" x14ac:dyDescent="0.45">
      <c r="A262" s="181" t="s">
        <v>224</v>
      </c>
      <c r="B262" s="286">
        <v>70</v>
      </c>
      <c r="C262" s="289">
        <v>25</v>
      </c>
      <c r="D262" s="287">
        <f>PRODUCT(B262:C262)</f>
        <v>1750</v>
      </c>
      <c r="E262" s="282"/>
      <c r="H262" s="284"/>
      <c r="I262" s="310" t="s">
        <v>104</v>
      </c>
      <c r="J262" s="310" t="s">
        <v>104</v>
      </c>
    </row>
    <row r="263" spans="1:10" s="283" customFormat="1" ht="30" customHeight="1" x14ac:dyDescent="0.45">
      <c r="A263" s="181" t="s">
        <v>223</v>
      </c>
      <c r="B263" s="286">
        <v>2</v>
      </c>
      <c r="C263" s="289">
        <v>3480</v>
      </c>
      <c r="D263" s="287">
        <f>PRODUCT(B263:C263)</f>
        <v>6960</v>
      </c>
      <c r="E263" s="282">
        <f>D262+D263</f>
        <v>8710</v>
      </c>
      <c r="H263" s="284"/>
      <c r="I263" s="311"/>
      <c r="J263" s="311"/>
    </row>
    <row r="264" spans="1:10" s="283" customFormat="1" ht="30" customHeight="1" x14ac:dyDescent="0.45">
      <c r="A264" s="181"/>
      <c r="B264" s="290"/>
      <c r="C264" s="291"/>
      <c r="D264" s="292"/>
      <c r="E264" s="282"/>
      <c r="H264" s="284"/>
      <c r="I264" s="285"/>
      <c r="J264" s="285"/>
    </row>
    <row r="265" spans="1:10" s="283" customFormat="1" ht="30" customHeight="1" x14ac:dyDescent="0.45">
      <c r="A265" s="181"/>
      <c r="B265" s="286"/>
      <c r="C265" s="289"/>
      <c r="D265" s="287"/>
      <c r="E265" s="282"/>
      <c r="H265" s="284"/>
      <c r="I265" s="285"/>
      <c r="J265" s="285"/>
    </row>
    <row r="266" spans="1:10" s="277" customFormat="1" ht="30" customHeight="1" thickBot="1" x14ac:dyDescent="0.5">
      <c r="A266" s="180" t="s">
        <v>281</v>
      </c>
      <c r="B266" s="278"/>
      <c r="C266" s="293"/>
      <c r="D266" s="293"/>
      <c r="E266" s="293"/>
      <c r="I266" s="277" t="s">
        <v>104</v>
      </c>
      <c r="J266" s="277" t="s">
        <v>104</v>
      </c>
    </row>
    <row r="267" spans="1:10" s="283" customFormat="1" ht="30" customHeight="1" thickTop="1" x14ac:dyDescent="0.45">
      <c r="A267" s="181" t="s">
        <v>283</v>
      </c>
      <c r="B267" s="286">
        <v>75</v>
      </c>
      <c r="C267" s="289"/>
      <c r="D267" s="287"/>
      <c r="E267" s="282"/>
      <c r="H267" s="284"/>
      <c r="I267" s="285"/>
      <c r="J267" s="285"/>
    </row>
    <row r="268" spans="1:10" s="283" customFormat="1" ht="30" customHeight="1" x14ac:dyDescent="0.45">
      <c r="A268" s="181" t="s">
        <v>282</v>
      </c>
      <c r="B268" s="286">
        <v>420</v>
      </c>
      <c r="C268" s="289"/>
      <c r="D268" s="287"/>
      <c r="E268" s="282"/>
      <c r="H268" s="284"/>
      <c r="I268" s="285"/>
      <c r="J268" s="285"/>
    </row>
    <row r="269" spans="1:10" s="283" customFormat="1" ht="30" customHeight="1" x14ac:dyDescent="0.45">
      <c r="A269" s="181"/>
      <c r="B269" s="286"/>
      <c r="C269" s="289"/>
      <c r="D269" s="287"/>
      <c r="E269" s="282"/>
      <c r="H269" s="284"/>
      <c r="I269" s="285"/>
      <c r="J269" s="285"/>
    </row>
    <row r="270" spans="1:10" s="277" customFormat="1" ht="30" customHeight="1" thickBot="1" x14ac:dyDescent="0.5">
      <c r="A270" s="180" t="s">
        <v>298</v>
      </c>
      <c r="B270" s="278"/>
      <c r="C270" s="293"/>
      <c r="D270" s="293"/>
      <c r="E270" s="293"/>
      <c r="I270" s="277" t="s">
        <v>104</v>
      </c>
      <c r="J270" s="277" t="s">
        <v>104</v>
      </c>
    </row>
    <row r="271" spans="1:10" s="283" customFormat="1" ht="30" customHeight="1" thickTop="1" x14ac:dyDescent="0.45">
      <c r="A271" s="182" t="s">
        <v>299</v>
      </c>
      <c r="B271" s="285">
        <v>170</v>
      </c>
      <c r="C271" s="294">
        <v>125</v>
      </c>
      <c r="D271" s="294">
        <f>PRODUCT(B271:C271)</f>
        <v>21250</v>
      </c>
      <c r="E271" s="294"/>
      <c r="H271" s="284"/>
      <c r="I271" s="285"/>
      <c r="J271" s="285"/>
    </row>
    <row r="272" spans="1:10" s="283" customFormat="1" ht="30" customHeight="1" x14ac:dyDescent="0.45">
      <c r="A272" s="182" t="s">
        <v>300</v>
      </c>
      <c r="B272" s="285">
        <v>150</v>
      </c>
      <c r="C272" s="294">
        <v>7</v>
      </c>
      <c r="D272" s="294">
        <f>PRODUCT(B272:C272)</f>
        <v>1050</v>
      </c>
      <c r="E272" s="294"/>
      <c r="H272" s="284"/>
      <c r="I272" s="285"/>
      <c r="J272" s="285"/>
    </row>
    <row r="273" spans="1:10" s="283" customFormat="1" ht="30" customHeight="1" x14ac:dyDescent="0.45">
      <c r="A273" s="182" t="s">
        <v>303</v>
      </c>
      <c r="B273" s="285">
        <v>1</v>
      </c>
      <c r="C273" s="294">
        <v>8500</v>
      </c>
      <c r="D273" s="294">
        <f>PRODUCT(B273:C273)</f>
        <v>8500</v>
      </c>
      <c r="E273" s="294"/>
      <c r="H273" s="284"/>
      <c r="I273" s="285"/>
      <c r="J273" s="285"/>
    </row>
    <row r="274" spans="1:10" s="283" customFormat="1" ht="30" customHeight="1" x14ac:dyDescent="0.45">
      <c r="A274" s="182" t="s">
        <v>301</v>
      </c>
      <c r="B274" s="285">
        <v>1</v>
      </c>
      <c r="C274" s="294">
        <v>3375</v>
      </c>
      <c r="D274" s="294">
        <f>PRODUCT(B274:C274)</f>
        <v>3375</v>
      </c>
      <c r="E274" s="294"/>
      <c r="H274" s="284"/>
      <c r="I274" s="285"/>
      <c r="J274" s="285"/>
    </row>
    <row r="275" spans="1:10" s="283" customFormat="1" ht="30" customHeight="1" x14ac:dyDescent="0.45">
      <c r="A275" s="182" t="s">
        <v>302</v>
      </c>
      <c r="B275" s="285">
        <v>2</v>
      </c>
      <c r="C275" s="294">
        <v>450</v>
      </c>
      <c r="D275" s="294">
        <f>PRODUCT(B275:C275)</f>
        <v>900</v>
      </c>
      <c r="E275" s="294">
        <f>SUM(D271:D275)</f>
        <v>35075</v>
      </c>
      <c r="H275" s="284"/>
      <c r="I275" s="285"/>
      <c r="J275" s="285"/>
    </row>
    <row r="276" spans="1:10" s="283" customFormat="1" ht="30" customHeight="1" x14ac:dyDescent="0.45">
      <c r="A276" s="181"/>
      <c r="B276" s="286"/>
      <c r="C276" s="289"/>
      <c r="D276" s="287"/>
      <c r="E276" s="282"/>
      <c r="H276" s="284"/>
      <c r="I276" s="285"/>
      <c r="J276" s="285"/>
    </row>
    <row r="277" spans="1:10" s="277" customFormat="1" ht="30" customHeight="1" thickBot="1" x14ac:dyDescent="0.5">
      <c r="A277" s="180" t="s">
        <v>338</v>
      </c>
      <c r="B277" s="278"/>
      <c r="C277" s="293"/>
      <c r="D277" s="293"/>
      <c r="E277" s="293"/>
      <c r="I277" s="277" t="s">
        <v>104</v>
      </c>
      <c r="J277" s="277" t="s">
        <v>104</v>
      </c>
    </row>
    <row r="278" spans="1:10" s="283" customFormat="1" ht="30" customHeight="1" thickTop="1" x14ac:dyDescent="0.45">
      <c r="A278" s="181" t="s">
        <v>333</v>
      </c>
      <c r="B278" s="286">
        <v>9</v>
      </c>
      <c r="C278" s="289">
        <v>384</v>
      </c>
      <c r="D278" s="287">
        <f>PRODUCT(B278:C278)</f>
        <v>3456</v>
      </c>
      <c r="E278" s="282"/>
      <c r="H278" s="284"/>
      <c r="I278" s="285"/>
      <c r="J278" s="285"/>
    </row>
    <row r="279" spans="1:10" s="283" customFormat="1" ht="30" customHeight="1" x14ac:dyDescent="0.45">
      <c r="A279" s="181" t="s">
        <v>233</v>
      </c>
      <c r="B279" s="286">
        <v>3</v>
      </c>
      <c r="C279" s="289">
        <v>406</v>
      </c>
      <c r="D279" s="287">
        <f t="shared" ref="D279:D285" si="7">PRODUCT(B279:C279)</f>
        <v>1218</v>
      </c>
      <c r="E279" s="282"/>
      <c r="H279" s="284"/>
      <c r="I279" s="285"/>
      <c r="J279" s="285"/>
    </row>
    <row r="280" spans="1:10" s="283" customFormat="1" ht="30" customHeight="1" x14ac:dyDescent="0.45">
      <c r="A280" s="181" t="s">
        <v>334</v>
      </c>
      <c r="B280" s="286">
        <v>10</v>
      </c>
      <c r="C280" s="289">
        <v>40</v>
      </c>
      <c r="D280" s="287">
        <f t="shared" si="7"/>
        <v>400</v>
      </c>
      <c r="E280" s="282"/>
      <c r="H280" s="284"/>
      <c r="I280" s="285"/>
      <c r="J280" s="285"/>
    </row>
    <row r="281" spans="1:10" s="283" customFormat="1" ht="30" customHeight="1" x14ac:dyDescent="0.45">
      <c r="A281" s="181" t="s">
        <v>233</v>
      </c>
      <c r="B281" s="286">
        <v>3</v>
      </c>
      <c r="C281" s="289">
        <v>652</v>
      </c>
      <c r="D281" s="287">
        <f t="shared" si="7"/>
        <v>1956</v>
      </c>
      <c r="E281" s="282"/>
      <c r="H281" s="284"/>
      <c r="I281" s="285"/>
      <c r="J281" s="285"/>
    </row>
    <row r="282" spans="1:10" s="283" customFormat="1" ht="30" customHeight="1" x14ac:dyDescent="0.45">
      <c r="A282" s="181" t="s">
        <v>335</v>
      </c>
      <c r="B282" s="286">
        <v>3</v>
      </c>
      <c r="C282" s="289">
        <v>270</v>
      </c>
      <c r="D282" s="287">
        <f t="shared" si="7"/>
        <v>810</v>
      </c>
      <c r="E282" s="282"/>
      <c r="H282" s="284"/>
      <c r="I282" s="285"/>
      <c r="J282" s="285"/>
    </row>
    <row r="283" spans="1:10" s="283" customFormat="1" ht="30" customHeight="1" x14ac:dyDescent="0.45">
      <c r="A283" s="181" t="s">
        <v>336</v>
      </c>
      <c r="B283" s="286">
        <v>9</v>
      </c>
      <c r="C283" s="289">
        <v>85</v>
      </c>
      <c r="D283" s="287">
        <f t="shared" si="7"/>
        <v>765</v>
      </c>
      <c r="E283" s="282"/>
      <c r="H283" s="284"/>
      <c r="I283" s="285"/>
      <c r="J283" s="285"/>
    </row>
    <row r="284" spans="1:10" s="283" customFormat="1" ht="30" customHeight="1" x14ac:dyDescent="0.45">
      <c r="A284" s="181" t="s">
        <v>319</v>
      </c>
      <c r="B284" s="286">
        <v>9</v>
      </c>
      <c r="C284" s="289">
        <v>85</v>
      </c>
      <c r="D284" s="287">
        <f t="shared" si="7"/>
        <v>765</v>
      </c>
      <c r="E284" s="282"/>
      <c r="H284" s="284"/>
      <c r="I284" s="285"/>
      <c r="J284" s="285"/>
    </row>
    <row r="285" spans="1:10" s="283" customFormat="1" ht="30" customHeight="1" x14ac:dyDescent="0.45">
      <c r="A285" s="181" t="s">
        <v>337</v>
      </c>
      <c r="B285" s="286">
        <v>9</v>
      </c>
      <c r="C285" s="289">
        <v>70</v>
      </c>
      <c r="D285" s="287">
        <f t="shared" si="7"/>
        <v>630</v>
      </c>
      <c r="E285" s="282">
        <f>SUM(D278:D285)</f>
        <v>10000</v>
      </c>
      <c r="H285" s="284"/>
      <c r="I285" s="285"/>
      <c r="J285" s="285"/>
    </row>
    <row r="286" spans="1:10" s="283" customFormat="1" ht="30" customHeight="1" x14ac:dyDescent="0.45">
      <c r="A286" s="181"/>
      <c r="B286" s="286"/>
      <c r="C286" s="289"/>
      <c r="D286" s="287"/>
      <c r="E286" s="282"/>
      <c r="H286" s="284"/>
      <c r="I286" s="285"/>
      <c r="J286" s="285"/>
    </row>
    <row r="287" spans="1:10" s="277" customFormat="1" ht="30" customHeight="1" thickBot="1" x14ac:dyDescent="0.5">
      <c r="A287" s="180" t="s">
        <v>341</v>
      </c>
      <c r="B287" s="278"/>
      <c r="C287" s="293"/>
      <c r="D287" s="293"/>
      <c r="E287" s="293"/>
      <c r="I287" s="277" t="s">
        <v>104</v>
      </c>
      <c r="J287" s="277" t="s">
        <v>104</v>
      </c>
    </row>
    <row r="288" spans="1:10" s="283" customFormat="1" ht="30" customHeight="1" thickTop="1" x14ac:dyDescent="0.45">
      <c r="A288" s="181" t="s">
        <v>342</v>
      </c>
      <c r="B288" s="286">
        <v>250</v>
      </c>
      <c r="C288" s="289">
        <v>45</v>
      </c>
      <c r="D288" s="287">
        <f>PRODUCT(B288:C288)</f>
        <v>11250</v>
      </c>
      <c r="E288" s="282"/>
      <c r="H288" s="284"/>
      <c r="I288" s="285"/>
      <c r="J288" s="285"/>
    </row>
    <row r="289" spans="1:10" s="283" customFormat="1" ht="30" customHeight="1" x14ac:dyDescent="0.45">
      <c r="A289" s="181" t="s">
        <v>241</v>
      </c>
      <c r="B289" s="286">
        <v>200</v>
      </c>
      <c r="C289" s="289">
        <v>45</v>
      </c>
      <c r="D289" s="287">
        <f>PRODUCT(B289:C289)</f>
        <v>9000</v>
      </c>
      <c r="E289" s="282"/>
      <c r="H289" s="284"/>
      <c r="I289" s="285"/>
      <c r="J289" s="285"/>
    </row>
    <row r="290" spans="1:10" s="283" customFormat="1" ht="30" customHeight="1" x14ac:dyDescent="0.45">
      <c r="A290" s="181"/>
      <c r="B290" s="286"/>
      <c r="C290" s="289"/>
      <c r="D290" s="287"/>
      <c r="E290" s="282">
        <f>SUM(D288:D289)</f>
        <v>20250</v>
      </c>
      <c r="H290" s="284"/>
      <c r="I290" s="285"/>
      <c r="J290" s="285"/>
    </row>
    <row r="291" spans="1:10" s="283" customFormat="1" ht="30" customHeight="1" x14ac:dyDescent="0.45">
      <c r="A291" s="181"/>
      <c r="B291" s="286"/>
      <c r="C291" s="289"/>
      <c r="D291" s="287"/>
      <c r="E291" s="282"/>
      <c r="H291" s="284"/>
      <c r="I291" s="285"/>
      <c r="J291" s="285"/>
    </row>
    <row r="292" spans="1:10" s="277" customFormat="1" ht="30" customHeight="1" thickBot="1" x14ac:dyDescent="0.5">
      <c r="A292" s="180" t="s">
        <v>361</v>
      </c>
      <c r="B292" s="278"/>
      <c r="C292" s="293"/>
      <c r="D292" s="293"/>
      <c r="E292" s="293"/>
      <c r="I292" s="277" t="s">
        <v>104</v>
      </c>
      <c r="J292" s="277" t="s">
        <v>104</v>
      </c>
    </row>
    <row r="293" spans="1:10" s="283" customFormat="1" ht="30" customHeight="1" thickTop="1" x14ac:dyDescent="0.45">
      <c r="A293" s="181" t="s">
        <v>362</v>
      </c>
      <c r="B293" s="287">
        <v>1</v>
      </c>
      <c r="C293" s="287">
        <v>285</v>
      </c>
      <c r="D293" s="287"/>
      <c r="E293" s="282"/>
      <c r="H293" s="284"/>
      <c r="I293" s="285"/>
      <c r="J293" s="285"/>
    </row>
    <row r="294" spans="1:10" s="283" customFormat="1" ht="30" customHeight="1" x14ac:dyDescent="0.45">
      <c r="A294" s="181" t="s">
        <v>367</v>
      </c>
      <c r="B294" s="287">
        <v>10</v>
      </c>
      <c r="C294" s="287">
        <v>43</v>
      </c>
      <c r="D294" s="287"/>
      <c r="E294" s="282"/>
      <c r="H294" s="284"/>
      <c r="I294" s="285"/>
      <c r="J294" s="285"/>
    </row>
    <row r="295" spans="1:10" s="283" customFormat="1" ht="30" customHeight="1" x14ac:dyDescent="0.45">
      <c r="A295" s="181" t="s">
        <v>368</v>
      </c>
      <c r="B295" s="287">
        <v>10</v>
      </c>
      <c r="C295" s="287">
        <v>40</v>
      </c>
      <c r="D295" s="287"/>
      <c r="E295" s="282"/>
      <c r="H295" s="284"/>
      <c r="I295" s="285"/>
      <c r="J295" s="285"/>
    </row>
    <row r="296" spans="1:10" s="283" customFormat="1" ht="30" customHeight="1" x14ac:dyDescent="0.45">
      <c r="A296" s="181" t="s">
        <v>369</v>
      </c>
      <c r="B296" s="287">
        <v>1</v>
      </c>
      <c r="C296" s="287">
        <v>150</v>
      </c>
      <c r="D296" s="287"/>
      <c r="E296" s="282"/>
      <c r="H296" s="284"/>
      <c r="I296" s="285"/>
      <c r="J296" s="285"/>
    </row>
    <row r="297" spans="1:10" s="283" customFormat="1" ht="30" customHeight="1" x14ac:dyDescent="0.45">
      <c r="A297" s="181"/>
      <c r="B297" s="287"/>
      <c r="C297" s="287"/>
      <c r="D297" s="287"/>
      <c r="E297" s="282"/>
      <c r="H297" s="284"/>
      <c r="I297" s="285"/>
      <c r="J297" s="285"/>
    </row>
    <row r="298" spans="1:10" s="283" customFormat="1" ht="30" customHeight="1" x14ac:dyDescent="0.45">
      <c r="A298" s="181"/>
      <c r="B298" s="287"/>
      <c r="C298" s="287"/>
      <c r="D298" s="287"/>
      <c r="E298" s="282"/>
      <c r="H298" s="284"/>
      <c r="I298" s="285"/>
      <c r="J298" s="285"/>
    </row>
    <row r="299" spans="1:10" s="283" customFormat="1" ht="30" customHeight="1" x14ac:dyDescent="0.45">
      <c r="A299" s="181"/>
      <c r="B299" s="287"/>
      <c r="C299" s="287"/>
      <c r="D299" s="287"/>
      <c r="E299" s="282"/>
      <c r="H299" s="284"/>
      <c r="I299" s="285"/>
      <c r="J299" s="285"/>
    </row>
    <row r="300" spans="1:10" s="283" customFormat="1" ht="30" customHeight="1" x14ac:dyDescent="0.45">
      <c r="A300" s="181"/>
      <c r="B300" s="287"/>
      <c r="C300" s="287"/>
      <c r="D300" s="287"/>
      <c r="E300" s="282"/>
      <c r="H300" s="284"/>
      <c r="I300" s="285"/>
      <c r="J300" s="285"/>
    </row>
    <row r="301" spans="1:10" s="283" customFormat="1" ht="30" customHeight="1" x14ac:dyDescent="0.45">
      <c r="B301" s="287"/>
      <c r="C301" s="287"/>
      <c r="D301" s="287"/>
      <c r="E301" s="282"/>
      <c r="H301" s="284"/>
      <c r="I301" s="285"/>
      <c r="J301" s="285"/>
    </row>
    <row r="302" spans="1:10" s="277" customFormat="1" ht="30" customHeight="1" thickBot="1" x14ac:dyDescent="0.5">
      <c r="A302" s="180" t="s">
        <v>350</v>
      </c>
      <c r="B302" s="278"/>
      <c r="C302" s="293"/>
      <c r="D302" s="293"/>
      <c r="E302" s="293"/>
      <c r="I302" s="277" t="s">
        <v>104</v>
      </c>
      <c r="J302" s="277" t="s">
        <v>104</v>
      </c>
    </row>
    <row r="303" spans="1:10" s="283" customFormat="1" ht="30" customHeight="1" thickTop="1" x14ac:dyDescent="0.45">
      <c r="A303" s="181" t="s">
        <v>363</v>
      </c>
      <c r="B303" s="289">
        <v>600</v>
      </c>
      <c r="C303" s="289">
        <v>80</v>
      </c>
      <c r="D303" s="287">
        <f>PRODUCT(B303:C303)</f>
        <v>48000</v>
      </c>
      <c r="E303" s="282"/>
      <c r="H303" s="284"/>
      <c r="I303" s="285"/>
      <c r="J303" s="285"/>
    </row>
    <row r="304" spans="1:10" s="283" customFormat="1" ht="30" customHeight="1" x14ac:dyDescent="0.45">
      <c r="A304" s="181" t="s">
        <v>364</v>
      </c>
      <c r="B304" s="289">
        <v>600</v>
      </c>
      <c r="C304" s="289">
        <v>45</v>
      </c>
      <c r="D304" s="287">
        <f>PRODUCT(B304:C304)</f>
        <v>27000</v>
      </c>
      <c r="E304" s="282"/>
      <c r="H304" s="284"/>
      <c r="I304" s="285"/>
      <c r="J304" s="285"/>
    </row>
    <row r="305" spans="1:10" s="283" customFormat="1" ht="30" customHeight="1" x14ac:dyDescent="0.45">
      <c r="A305" s="181" t="s">
        <v>424</v>
      </c>
      <c r="B305" s="286">
        <v>82</v>
      </c>
      <c r="C305" s="289">
        <v>300</v>
      </c>
      <c r="D305" s="287">
        <f>PRODUCT(B305:C305)</f>
        <v>24600</v>
      </c>
      <c r="E305" s="282">
        <f>SUM(D303:D306)</f>
        <v>106420</v>
      </c>
      <c r="H305" s="284"/>
      <c r="I305" s="285"/>
      <c r="J305" s="285"/>
    </row>
    <row r="306" spans="1:10" s="283" customFormat="1" ht="30" customHeight="1" x14ac:dyDescent="0.45">
      <c r="A306" s="181" t="s">
        <v>425</v>
      </c>
      <c r="B306" s="286">
        <v>22</v>
      </c>
      <c r="C306" s="289">
        <v>310</v>
      </c>
      <c r="D306" s="287">
        <f>PRODUCT(B306:C306)</f>
        <v>6820</v>
      </c>
      <c r="E306" s="282"/>
      <c r="H306" s="284"/>
      <c r="I306" s="183" t="s">
        <v>366</v>
      </c>
      <c r="J306" s="285"/>
    </row>
    <row r="307" spans="1:10" s="283" customFormat="1" ht="30" customHeight="1" x14ac:dyDescent="0.45">
      <c r="A307" s="181"/>
      <c r="B307" s="286"/>
      <c r="C307" s="289"/>
      <c r="D307" s="287"/>
      <c r="E307" s="282"/>
      <c r="H307" s="284"/>
      <c r="I307" s="285"/>
      <c r="J307" s="285"/>
    </row>
    <row r="308" spans="1:10" s="277" customFormat="1" ht="30" customHeight="1" thickBot="1" x14ac:dyDescent="0.5">
      <c r="A308" s="180" t="s">
        <v>375</v>
      </c>
      <c r="B308" s="295">
        <v>46178</v>
      </c>
      <c r="C308" s="293"/>
      <c r="D308" s="293"/>
      <c r="E308" s="293"/>
      <c r="I308" s="277" t="s">
        <v>104</v>
      </c>
      <c r="J308" s="277" t="s">
        <v>104</v>
      </c>
    </row>
    <row r="309" spans="1:10" s="283" customFormat="1" ht="30" customHeight="1" thickTop="1" x14ac:dyDescent="0.45">
      <c r="A309" s="181" t="s">
        <v>376</v>
      </c>
      <c r="B309" s="286">
        <v>2</v>
      </c>
      <c r="C309" s="289">
        <v>45</v>
      </c>
      <c r="D309" s="287">
        <f>PRODUCT(B309:C309)</f>
        <v>90</v>
      </c>
      <c r="E309" s="282"/>
      <c r="H309" s="284"/>
      <c r="I309" s="285"/>
      <c r="J309" s="285"/>
    </row>
    <row r="310" spans="1:10" s="283" customFormat="1" ht="30" customHeight="1" x14ac:dyDescent="0.45">
      <c r="A310" s="181" t="s">
        <v>377</v>
      </c>
      <c r="B310" s="286">
        <v>1</v>
      </c>
      <c r="C310" s="289">
        <v>235</v>
      </c>
      <c r="D310" s="287">
        <f>PRODUCT(B310:C310)</f>
        <v>235</v>
      </c>
      <c r="E310" s="282"/>
      <c r="H310" s="284"/>
      <c r="I310" s="285"/>
      <c r="J310" s="285"/>
    </row>
    <row r="311" spans="1:10" s="283" customFormat="1" ht="30" customHeight="1" thickBot="1" x14ac:dyDescent="0.5">
      <c r="A311" s="181" t="s">
        <v>10</v>
      </c>
      <c r="B311" s="286">
        <v>60</v>
      </c>
      <c r="C311" s="289">
        <v>9.5</v>
      </c>
      <c r="D311" s="287">
        <f>PRODUCT(B311:C311)</f>
        <v>570</v>
      </c>
      <c r="E311" s="282"/>
      <c r="H311" s="284"/>
      <c r="I311" s="285"/>
      <c r="J311" s="285"/>
    </row>
    <row r="312" spans="1:10" s="283" customFormat="1" ht="30" customHeight="1" x14ac:dyDescent="0.45">
      <c r="A312" s="181"/>
      <c r="B312" s="286"/>
      <c r="C312" s="289"/>
      <c r="D312" s="287"/>
      <c r="E312" s="282">
        <f>SUM(D309:D311)</f>
        <v>895</v>
      </c>
      <c r="H312" s="284"/>
      <c r="I312" s="285"/>
      <c r="J312" s="288" t="s">
        <v>104</v>
      </c>
    </row>
    <row r="313" spans="1:10" s="283" customFormat="1" ht="30" customHeight="1" x14ac:dyDescent="0.45">
      <c r="A313" s="181"/>
      <c r="B313" s="286"/>
      <c r="C313" s="289"/>
      <c r="D313" s="287"/>
      <c r="E313" s="282"/>
      <c r="H313" s="284"/>
      <c r="I313" s="285"/>
      <c r="J313" s="285"/>
    </row>
    <row r="314" spans="1:10" s="174" customFormat="1" ht="30" customHeight="1" thickBot="1" x14ac:dyDescent="0.5">
      <c r="A314" s="160" t="s">
        <v>407</v>
      </c>
      <c r="B314" s="201"/>
      <c r="C314" s="296"/>
      <c r="D314" s="296"/>
      <c r="E314" s="296"/>
      <c r="I314" s="201"/>
      <c r="J314" s="201"/>
    </row>
    <row r="315" spans="1:10" ht="30" customHeight="1" thickTop="1" x14ac:dyDescent="0.45">
      <c r="A315" s="163" t="s">
        <v>408</v>
      </c>
      <c r="B315" s="166">
        <v>10</v>
      </c>
      <c r="C315" s="240">
        <v>650</v>
      </c>
      <c r="D315" s="241">
        <f>PRODUCT(B315:C315)</f>
        <v>6500</v>
      </c>
    </row>
    <row r="316" spans="1:10" ht="30" customHeight="1" x14ac:dyDescent="0.45">
      <c r="A316" s="163" t="s">
        <v>409</v>
      </c>
      <c r="B316" s="166">
        <v>1</v>
      </c>
      <c r="C316" s="240">
        <v>63750</v>
      </c>
      <c r="D316" s="241">
        <f>PRODUCT(B316:C316)</f>
        <v>63750</v>
      </c>
    </row>
    <row r="317" spans="1:10" ht="30" customHeight="1" x14ac:dyDescent="0.45">
      <c r="A317" s="163" t="s">
        <v>410</v>
      </c>
      <c r="B317" s="166">
        <v>4</v>
      </c>
      <c r="C317" s="240">
        <v>850</v>
      </c>
      <c r="D317" s="241">
        <f>PRODUCT(B317:C317)</f>
        <v>3400</v>
      </c>
      <c r="E317" s="232">
        <f>SUM(D315:D317)</f>
        <v>73650</v>
      </c>
    </row>
    <row r="319" spans="1:10" s="174" customFormat="1" ht="30" customHeight="1" thickBot="1" x14ac:dyDescent="0.5">
      <c r="A319" s="160" t="s">
        <v>411</v>
      </c>
      <c r="B319" s="201"/>
      <c r="C319" s="296"/>
      <c r="D319" s="296"/>
      <c r="E319" s="296"/>
      <c r="I319" s="201"/>
      <c r="J319" s="201"/>
    </row>
    <row r="320" spans="1:10" ht="30" customHeight="1" thickTop="1" x14ac:dyDescent="0.45">
      <c r="A320" s="163" t="s">
        <v>412</v>
      </c>
      <c r="B320" s="166">
        <v>160</v>
      </c>
      <c r="C320" s="240">
        <v>145</v>
      </c>
      <c r="D320" s="241">
        <f>PRODUCT(B320:C320)</f>
        <v>23200</v>
      </c>
    </row>
    <row r="321" spans="1:10" ht="30" customHeight="1" x14ac:dyDescent="0.45">
      <c r="A321" s="163" t="s">
        <v>413</v>
      </c>
      <c r="B321" s="166">
        <v>160</v>
      </c>
      <c r="C321" s="240">
        <v>100</v>
      </c>
      <c r="D321" s="241">
        <f>PRODUCT(B321:C321)</f>
        <v>16000</v>
      </c>
    </row>
    <row r="322" spans="1:10" ht="30" customHeight="1" x14ac:dyDescent="0.45">
      <c r="A322" s="163" t="s">
        <v>414</v>
      </c>
      <c r="B322" s="166">
        <v>160</v>
      </c>
      <c r="C322" s="240">
        <v>197</v>
      </c>
      <c r="D322" s="241">
        <f>PRODUCT(B322:C322)</f>
        <v>31520</v>
      </c>
    </row>
    <row r="323" spans="1:10" ht="30" customHeight="1" x14ac:dyDescent="0.45">
      <c r="A323" s="163" t="s">
        <v>415</v>
      </c>
      <c r="B323" s="166">
        <v>160</v>
      </c>
      <c r="C323" s="240">
        <v>1360</v>
      </c>
      <c r="D323" s="241">
        <f>PRODUCT(B323:C323)</f>
        <v>217600</v>
      </c>
    </row>
    <row r="324" spans="1:10" ht="30" customHeight="1" x14ac:dyDescent="0.45">
      <c r="D324" s="232">
        <f>SUM(D320:D323)</f>
        <v>288320</v>
      </c>
    </row>
    <row r="326" spans="1:10" s="174" customFormat="1" ht="30" customHeight="1" thickBot="1" x14ac:dyDescent="0.5">
      <c r="A326" s="160" t="s">
        <v>422</v>
      </c>
      <c r="B326" s="201"/>
      <c r="C326" s="296"/>
      <c r="D326" s="296"/>
      <c r="E326" s="296"/>
      <c r="I326" s="201"/>
      <c r="J326" s="201"/>
    </row>
    <row r="327" spans="1:10" ht="30" customHeight="1" thickTop="1" x14ac:dyDescent="0.45">
      <c r="A327" s="163" t="s">
        <v>423</v>
      </c>
      <c r="B327" s="166">
        <v>5</v>
      </c>
      <c r="C327" s="240">
        <v>550</v>
      </c>
    </row>
    <row r="329" spans="1:10" ht="30" customHeight="1" x14ac:dyDescent="0.45">
      <c r="A329" s="163" t="s">
        <v>365</v>
      </c>
    </row>
    <row r="331" spans="1:10" s="174" customFormat="1" ht="30" customHeight="1" thickBot="1" x14ac:dyDescent="0.5">
      <c r="A331" s="160" t="s">
        <v>426</v>
      </c>
      <c r="B331" s="201"/>
      <c r="C331" s="296"/>
      <c r="D331" s="296"/>
      <c r="E331" s="296"/>
      <c r="I331" s="201"/>
      <c r="J331" s="201"/>
    </row>
    <row r="332" spans="1:10" ht="30" customHeight="1" thickTop="1" x14ac:dyDescent="0.45">
      <c r="A332" s="163" t="s">
        <v>427</v>
      </c>
      <c r="B332" s="240">
        <v>5</v>
      </c>
      <c r="C332" s="166">
        <v>525</v>
      </c>
      <c r="D332" s="241">
        <f>PRODUCT(B332:C332)</f>
        <v>2625</v>
      </c>
    </row>
    <row r="333" spans="1:10" ht="30" customHeight="1" x14ac:dyDescent="0.45">
      <c r="A333" s="163" t="s">
        <v>428</v>
      </c>
      <c r="B333" s="240">
        <v>75</v>
      </c>
      <c r="C333" s="166">
        <v>224</v>
      </c>
      <c r="D333" s="241">
        <f>PRODUCT(B333:C333)</f>
        <v>16800</v>
      </c>
    </row>
    <row r="334" spans="1:10" ht="30" customHeight="1" x14ac:dyDescent="0.45">
      <c r="A334" s="163" t="s">
        <v>429</v>
      </c>
      <c r="B334" s="240">
        <v>160</v>
      </c>
      <c r="C334" s="166">
        <v>2.5</v>
      </c>
      <c r="D334" s="241">
        <f>PRODUCT(B334:C334)</f>
        <v>400</v>
      </c>
    </row>
    <row r="335" spans="1:10" ht="30" customHeight="1" x14ac:dyDescent="0.45">
      <c r="A335" s="163" t="s">
        <v>430</v>
      </c>
      <c r="B335" s="240">
        <v>45</v>
      </c>
      <c r="C335" s="166">
        <v>114</v>
      </c>
      <c r="D335" s="241">
        <f>PRODUCT(B335:C335)</f>
        <v>5130</v>
      </c>
    </row>
    <row r="336" spans="1:10" ht="30" customHeight="1" x14ac:dyDescent="0.45">
      <c r="A336" s="163" t="s">
        <v>434</v>
      </c>
      <c r="B336" s="166">
        <v>1</v>
      </c>
      <c r="C336" s="166">
        <v>1155</v>
      </c>
      <c r="D336" s="241">
        <f>PRODUCT(B336:C336)</f>
        <v>1155</v>
      </c>
      <c r="E336" s="232">
        <f>SUM(D332:D336)</f>
        <v>26110</v>
      </c>
      <c r="I336" s="198" t="s">
        <v>354</v>
      </c>
      <c r="J336" s="198" t="s">
        <v>354</v>
      </c>
    </row>
    <row r="338" spans="1:10" s="174" customFormat="1" ht="30" customHeight="1" thickBot="1" x14ac:dyDescent="0.5">
      <c r="A338" s="160" t="s">
        <v>431</v>
      </c>
      <c r="B338" s="201"/>
      <c r="C338" s="296"/>
      <c r="D338" s="296"/>
      <c r="E338" s="296"/>
      <c r="I338" s="201"/>
      <c r="J338" s="201"/>
    </row>
    <row r="339" spans="1:10" ht="30" customHeight="1" thickTop="1" x14ac:dyDescent="0.45">
      <c r="A339" s="163" t="s">
        <v>433</v>
      </c>
      <c r="B339" s="166">
        <v>3</v>
      </c>
      <c r="C339" s="240">
        <v>120</v>
      </c>
      <c r="D339" s="241">
        <f>PRODUCT(B339:C339)</f>
        <v>360</v>
      </c>
    </row>
    <row r="340" spans="1:10" ht="30" customHeight="1" x14ac:dyDescent="0.45">
      <c r="A340" s="163" t="s">
        <v>432</v>
      </c>
      <c r="B340" s="166">
        <v>30</v>
      </c>
      <c r="C340" s="240">
        <v>65</v>
      </c>
      <c r="D340" s="241">
        <f>PRODUCT(B340:C340)</f>
        <v>1950</v>
      </c>
    </row>
    <row r="341" spans="1:10" ht="30" customHeight="1" x14ac:dyDescent="0.45">
      <c r="A341" s="163" t="s">
        <v>349</v>
      </c>
      <c r="B341" s="165">
        <v>30</v>
      </c>
      <c r="C341" s="246">
        <v>1337</v>
      </c>
      <c r="D341" s="247">
        <f>SUM(B341*C341)</f>
        <v>40110</v>
      </c>
    </row>
    <row r="342" spans="1:10" ht="30" customHeight="1" x14ac:dyDescent="0.45">
      <c r="A342" s="163" t="s">
        <v>373</v>
      </c>
      <c r="B342" s="166">
        <v>30</v>
      </c>
      <c r="C342" s="240">
        <v>45</v>
      </c>
      <c r="D342" s="247">
        <f>SUM(B342*C342)</f>
        <v>1350</v>
      </c>
    </row>
    <row r="343" spans="1:10" ht="30" customHeight="1" x14ac:dyDescent="0.45">
      <c r="A343" s="163" t="s">
        <v>374</v>
      </c>
      <c r="B343" s="297">
        <v>1</v>
      </c>
      <c r="C343" s="298">
        <v>25</v>
      </c>
      <c r="D343" s="247">
        <f>SUM(B343*C343)</f>
        <v>25</v>
      </c>
      <c r="E343" s="232">
        <f>SUM(D339:D343)</f>
        <v>43795</v>
      </c>
      <c r="I343" s="198" t="s">
        <v>354</v>
      </c>
      <c r="J343" s="198" t="s">
        <v>354</v>
      </c>
    </row>
    <row r="347" spans="1:10" s="174" customFormat="1" ht="30" customHeight="1" thickBot="1" x14ac:dyDescent="0.5">
      <c r="A347" s="160" t="s">
        <v>440</v>
      </c>
      <c r="B347" s="201"/>
      <c r="C347" s="296"/>
      <c r="D347" s="296"/>
      <c r="E347" s="296"/>
      <c r="I347" s="201"/>
      <c r="J347" s="201"/>
    </row>
    <row r="348" spans="1:10" ht="30" customHeight="1" thickTop="1" x14ac:dyDescent="0.45">
      <c r="A348" s="163" t="s">
        <v>439</v>
      </c>
    </row>
    <row r="349" spans="1:10" ht="30" customHeight="1" x14ac:dyDescent="0.45">
      <c r="A349" s="163" t="s">
        <v>435</v>
      </c>
      <c r="B349" s="240">
        <v>24</v>
      </c>
      <c r="C349" s="240">
        <v>950</v>
      </c>
      <c r="D349" s="247">
        <f>SUM(B349*C349)</f>
        <v>22800</v>
      </c>
    </row>
    <row r="350" spans="1:10" ht="30" customHeight="1" x14ac:dyDescent="0.45">
      <c r="A350" s="163" t="s">
        <v>436</v>
      </c>
      <c r="B350" s="240">
        <v>24</v>
      </c>
      <c r="C350" s="240">
        <v>600</v>
      </c>
      <c r="D350" s="247">
        <f>SUM(B350*C350)</f>
        <v>14400</v>
      </c>
    </row>
    <row r="351" spans="1:10" ht="30" customHeight="1" x14ac:dyDescent="0.45">
      <c r="A351" s="163" t="s">
        <v>437</v>
      </c>
      <c r="B351" s="240">
        <v>24</v>
      </c>
      <c r="C351" s="240">
        <v>600</v>
      </c>
      <c r="D351" s="247">
        <f>SUM(B351*C351)</f>
        <v>14400</v>
      </c>
    </row>
    <row r="352" spans="1:10" ht="30" customHeight="1" x14ac:dyDescent="0.45">
      <c r="A352" s="163" t="s">
        <v>624</v>
      </c>
      <c r="B352" s="240">
        <v>9</v>
      </c>
      <c r="C352" s="240">
        <v>45</v>
      </c>
      <c r="D352" s="247">
        <f>SUM(B352*C352)</f>
        <v>405</v>
      </c>
    </row>
    <row r="353" spans="1:10" ht="30" customHeight="1" x14ac:dyDescent="0.45">
      <c r="A353" s="163" t="s">
        <v>438</v>
      </c>
      <c r="B353" s="240">
        <v>24</v>
      </c>
      <c r="C353" s="240">
        <v>45</v>
      </c>
      <c r="D353" s="247">
        <f>SUM(B353*C353)</f>
        <v>1080</v>
      </c>
      <c r="E353" s="232">
        <f>SUM(D349:D353)</f>
        <v>53085</v>
      </c>
    </row>
    <row r="355" spans="1:10" ht="30" customHeight="1" x14ac:dyDescent="0.45">
      <c r="A355" s="163">
        <v>10.06</v>
      </c>
    </row>
    <row r="356" spans="1:10" ht="30" customHeight="1" x14ac:dyDescent="0.45">
      <c r="A356" s="163" t="s">
        <v>435</v>
      </c>
      <c r="B356" s="240">
        <v>8</v>
      </c>
      <c r="C356" s="240">
        <v>950</v>
      </c>
      <c r="D356" s="247">
        <f>SUM(B356*C356)</f>
        <v>7600</v>
      </c>
    </row>
    <row r="357" spans="1:10" ht="30" customHeight="1" x14ac:dyDescent="0.45">
      <c r="A357" s="163" t="s">
        <v>436</v>
      </c>
      <c r="B357" s="240">
        <v>8</v>
      </c>
      <c r="C357" s="240">
        <v>600</v>
      </c>
      <c r="D357" s="247">
        <f>SUM(B357*C357)</f>
        <v>4800</v>
      </c>
    </row>
    <row r="358" spans="1:10" ht="30" customHeight="1" x14ac:dyDescent="0.45">
      <c r="A358" s="163" t="s">
        <v>437</v>
      </c>
      <c r="B358" s="240">
        <v>8</v>
      </c>
      <c r="C358" s="240">
        <v>600</v>
      </c>
      <c r="D358" s="247">
        <f>SUM(B358*C358)</f>
        <v>4800</v>
      </c>
    </row>
    <row r="359" spans="1:10" ht="30" customHeight="1" x14ac:dyDescent="0.45">
      <c r="A359" s="163" t="s">
        <v>624</v>
      </c>
      <c r="B359" s="240">
        <v>3</v>
      </c>
      <c r="C359" s="240">
        <v>45</v>
      </c>
      <c r="D359" s="247">
        <f>SUM(B359*C359)</f>
        <v>135</v>
      </c>
    </row>
    <row r="360" spans="1:10" ht="30" customHeight="1" x14ac:dyDescent="0.45">
      <c r="A360" s="163" t="s">
        <v>438</v>
      </c>
      <c r="B360" s="240">
        <v>8</v>
      </c>
      <c r="C360" s="240">
        <v>45</v>
      </c>
      <c r="D360" s="247">
        <f>SUM(B360*C360)</f>
        <v>360</v>
      </c>
      <c r="E360" s="232">
        <f>SUM(D356:D360)</f>
        <v>17695</v>
      </c>
      <c r="I360" s="198">
        <v>532</v>
      </c>
    </row>
    <row r="362" spans="1:10" s="174" customFormat="1" ht="30" customHeight="1" thickBot="1" x14ac:dyDescent="0.5">
      <c r="A362" s="160" t="s">
        <v>471</v>
      </c>
      <c r="B362" s="201"/>
      <c r="C362" s="296"/>
      <c r="D362" s="296"/>
      <c r="E362" s="296"/>
      <c r="I362" s="201"/>
      <c r="J362" s="201"/>
    </row>
    <row r="363" spans="1:10" ht="30" customHeight="1" thickTop="1" x14ac:dyDescent="0.45"/>
    <row r="364" spans="1:10" ht="30" customHeight="1" x14ac:dyDescent="0.45">
      <c r="A364" s="163" t="s">
        <v>462</v>
      </c>
      <c r="B364" s="166">
        <v>20</v>
      </c>
      <c r="C364" s="240">
        <v>1200</v>
      </c>
      <c r="D364" s="241">
        <v>24000</v>
      </c>
    </row>
    <row r="365" spans="1:10" ht="30" customHeight="1" x14ac:dyDescent="0.45">
      <c r="A365" s="163" t="s">
        <v>463</v>
      </c>
      <c r="B365" s="166">
        <v>1577</v>
      </c>
      <c r="C365" s="240">
        <v>202</v>
      </c>
      <c r="D365" s="241">
        <v>318554</v>
      </c>
    </row>
    <row r="366" spans="1:10" ht="30" customHeight="1" x14ac:dyDescent="0.45">
      <c r="A366" s="163" t="s">
        <v>464</v>
      </c>
      <c r="B366" s="166">
        <v>160</v>
      </c>
      <c r="C366" s="240">
        <v>91</v>
      </c>
      <c r="D366" s="241">
        <v>14560</v>
      </c>
    </row>
    <row r="367" spans="1:10" ht="30" customHeight="1" x14ac:dyDescent="0.45">
      <c r="A367" s="163" t="s">
        <v>465</v>
      </c>
      <c r="B367" s="166">
        <v>160</v>
      </c>
      <c r="C367" s="240">
        <v>475</v>
      </c>
      <c r="D367" s="241">
        <v>76000</v>
      </c>
    </row>
    <row r="368" spans="1:10" ht="30" customHeight="1" x14ac:dyDescent="0.45">
      <c r="A368" s="163" t="s">
        <v>466</v>
      </c>
      <c r="B368" s="166">
        <v>160</v>
      </c>
      <c r="C368" s="240">
        <v>475</v>
      </c>
      <c r="D368" s="241">
        <v>76000</v>
      </c>
    </row>
    <row r="369" spans="1:10" ht="30" customHeight="1" x14ac:dyDescent="0.45">
      <c r="A369" s="163" t="s">
        <v>467</v>
      </c>
      <c r="B369" s="166">
        <v>18</v>
      </c>
      <c r="C369" s="240">
        <v>1417</v>
      </c>
      <c r="D369" s="241">
        <v>25506</v>
      </c>
    </row>
    <row r="370" spans="1:10" ht="30" customHeight="1" x14ac:dyDescent="0.45">
      <c r="A370" s="163" t="s">
        <v>468</v>
      </c>
      <c r="B370" s="166">
        <v>20</v>
      </c>
      <c r="C370" s="240">
        <v>350</v>
      </c>
      <c r="D370" s="241">
        <v>7000</v>
      </c>
    </row>
    <row r="371" spans="1:10" ht="30" customHeight="1" x14ac:dyDescent="0.45">
      <c r="A371" s="163" t="s">
        <v>469</v>
      </c>
      <c r="E371" s="232">
        <v>541620</v>
      </c>
    </row>
    <row r="374" spans="1:10" ht="30" customHeight="1" x14ac:dyDescent="0.45">
      <c r="A374" s="163" t="s">
        <v>470</v>
      </c>
      <c r="B374" s="166">
        <v>1</v>
      </c>
      <c r="C374" s="299">
        <v>55000</v>
      </c>
      <c r="D374" s="300">
        <v>55000</v>
      </c>
    </row>
    <row r="376" spans="1:10" s="174" customFormat="1" ht="30" customHeight="1" thickBot="1" x14ac:dyDescent="0.5">
      <c r="A376" s="160" t="s">
        <v>472</v>
      </c>
      <c r="B376" s="201"/>
      <c r="C376" s="296"/>
      <c r="D376" s="296"/>
      <c r="E376" s="296"/>
      <c r="I376" s="201"/>
      <c r="J376" s="201"/>
    </row>
    <row r="377" spans="1:10" ht="30" customHeight="1" thickTop="1" x14ac:dyDescent="0.45">
      <c r="A377" s="163" t="s">
        <v>484</v>
      </c>
      <c r="B377" s="166">
        <v>8</v>
      </c>
      <c r="C377" s="240">
        <v>43</v>
      </c>
      <c r="D377" s="241">
        <f>C377*B377</f>
        <v>344</v>
      </c>
    </row>
    <row r="378" spans="1:10" ht="30" customHeight="1" x14ac:dyDescent="0.45">
      <c r="A378" s="163" t="s">
        <v>473</v>
      </c>
      <c r="B378" s="166">
        <v>66</v>
      </c>
      <c r="C378" s="240">
        <v>8.5</v>
      </c>
      <c r="D378" s="241">
        <f>C378*B378</f>
        <v>561</v>
      </c>
    </row>
    <row r="379" spans="1:10" ht="30" customHeight="1" x14ac:dyDescent="0.45">
      <c r="A379" s="163" t="s">
        <v>483</v>
      </c>
      <c r="B379" s="166">
        <v>1</v>
      </c>
      <c r="C379" s="240">
        <v>350</v>
      </c>
      <c r="D379" s="241">
        <f>C379*B379</f>
        <v>350</v>
      </c>
    </row>
    <row r="381" spans="1:10" s="174" customFormat="1" ht="30" customHeight="1" thickBot="1" x14ac:dyDescent="0.5">
      <c r="A381" s="160" t="s">
        <v>482</v>
      </c>
      <c r="B381" s="201"/>
      <c r="C381" s="296"/>
      <c r="D381" s="296"/>
      <c r="E381" s="296"/>
      <c r="I381" s="201"/>
      <c r="J381" s="201"/>
    </row>
    <row r="382" spans="1:10" ht="30" customHeight="1" thickTop="1" x14ac:dyDescent="0.45">
      <c r="A382" s="163" t="s">
        <v>480</v>
      </c>
      <c r="B382" s="166">
        <v>100</v>
      </c>
      <c r="C382" s="240">
        <v>98</v>
      </c>
      <c r="D382" s="241">
        <f>C382*B382</f>
        <v>9800</v>
      </c>
    </row>
    <row r="383" spans="1:10" ht="30" customHeight="1" x14ac:dyDescent="0.45">
      <c r="A383" s="163" t="s">
        <v>481</v>
      </c>
      <c r="B383" s="166">
        <v>100</v>
      </c>
      <c r="C383" s="240">
        <v>30</v>
      </c>
      <c r="D383" s="241">
        <f>C383*B383</f>
        <v>3000</v>
      </c>
    </row>
    <row r="384" spans="1:10" ht="30" customHeight="1" x14ac:dyDescent="0.45">
      <c r="E384" s="232">
        <f>D382+D383</f>
        <v>12800</v>
      </c>
    </row>
    <row r="388" spans="1:10" s="174" customFormat="1" ht="30" customHeight="1" thickBot="1" x14ac:dyDescent="0.5">
      <c r="A388" s="160" t="s">
        <v>497</v>
      </c>
      <c r="B388" s="201"/>
      <c r="C388" s="296"/>
      <c r="D388" s="296"/>
      <c r="E388" s="296"/>
      <c r="I388" s="201"/>
      <c r="J388" s="201"/>
    </row>
    <row r="389" spans="1:10" ht="30" customHeight="1" thickTop="1" x14ac:dyDescent="0.45">
      <c r="A389" s="163" t="s">
        <v>485</v>
      </c>
      <c r="B389" s="166">
        <v>15</v>
      </c>
      <c r="C389" s="240">
        <v>375</v>
      </c>
      <c r="D389" s="241">
        <v>5625</v>
      </c>
    </row>
    <row r="390" spans="1:10" ht="30" customHeight="1" x14ac:dyDescent="0.45">
      <c r="A390" s="163" t="s">
        <v>486</v>
      </c>
      <c r="B390" s="166">
        <v>50</v>
      </c>
      <c r="C390" s="240">
        <v>475</v>
      </c>
      <c r="D390" s="241">
        <v>23750</v>
      </c>
    </row>
    <row r="391" spans="1:10" ht="30" customHeight="1" x14ac:dyDescent="0.45">
      <c r="A391" s="163" t="s">
        <v>487</v>
      </c>
      <c r="B391" s="166">
        <v>100</v>
      </c>
      <c r="C391" s="240">
        <v>60</v>
      </c>
      <c r="D391" s="241">
        <v>6000</v>
      </c>
    </row>
    <row r="392" spans="1:10" ht="30" customHeight="1" x14ac:dyDescent="0.45">
      <c r="A392" s="163" t="s">
        <v>488</v>
      </c>
      <c r="B392" s="166">
        <v>50</v>
      </c>
      <c r="C392" s="240">
        <v>30</v>
      </c>
      <c r="D392" s="241">
        <v>1500</v>
      </c>
    </row>
    <row r="393" spans="1:10" ht="30" customHeight="1" x14ac:dyDescent="0.45">
      <c r="A393" s="163" t="s">
        <v>489</v>
      </c>
      <c r="B393" s="166">
        <v>1</v>
      </c>
      <c r="C393" s="240">
        <v>5600</v>
      </c>
      <c r="D393" s="241">
        <v>5600</v>
      </c>
    </row>
    <row r="394" spans="1:10" ht="30" customHeight="1" x14ac:dyDescent="0.45">
      <c r="A394" s="163" t="s">
        <v>490</v>
      </c>
      <c r="B394" s="166">
        <v>8</v>
      </c>
      <c r="C394" s="240">
        <v>550</v>
      </c>
      <c r="D394" s="241">
        <v>4400</v>
      </c>
    </row>
    <row r="395" spans="1:10" ht="30" customHeight="1" x14ac:dyDescent="0.45">
      <c r="A395" s="163" t="s">
        <v>491</v>
      </c>
      <c r="B395" s="166">
        <v>1</v>
      </c>
      <c r="C395" s="240">
        <v>1850</v>
      </c>
      <c r="D395" s="241">
        <v>1850</v>
      </c>
    </row>
    <row r="396" spans="1:10" ht="30" customHeight="1" x14ac:dyDescent="0.45">
      <c r="A396" s="163" t="s">
        <v>492</v>
      </c>
      <c r="B396" s="166">
        <v>1</v>
      </c>
      <c r="C396" s="240">
        <v>7500</v>
      </c>
      <c r="D396" s="241">
        <v>7500</v>
      </c>
    </row>
    <row r="397" spans="1:10" ht="30" customHeight="1" x14ac:dyDescent="0.45">
      <c r="A397" s="163" t="s">
        <v>493</v>
      </c>
      <c r="B397" s="166">
        <v>2</v>
      </c>
      <c r="C397" s="240">
        <v>5550</v>
      </c>
      <c r="D397" s="241">
        <v>11100</v>
      </c>
    </row>
    <row r="398" spans="1:10" ht="30" customHeight="1" x14ac:dyDescent="0.45">
      <c r="A398" s="163" t="s">
        <v>494</v>
      </c>
      <c r="B398" s="166">
        <v>4</v>
      </c>
      <c r="C398" s="240">
        <v>4250</v>
      </c>
      <c r="D398" s="241">
        <v>17000</v>
      </c>
    </row>
    <row r="399" spans="1:10" ht="30" customHeight="1" x14ac:dyDescent="0.45">
      <c r="A399" s="163" t="s">
        <v>495</v>
      </c>
      <c r="B399" s="166">
        <v>6</v>
      </c>
      <c r="C399" s="240">
        <v>1250</v>
      </c>
      <c r="D399" s="241">
        <v>7500</v>
      </c>
    </row>
    <row r="400" spans="1:10" ht="30" customHeight="1" x14ac:dyDescent="0.45">
      <c r="A400" s="163" t="s">
        <v>496</v>
      </c>
      <c r="B400" s="166">
        <v>8</v>
      </c>
      <c r="C400" s="240">
        <v>750</v>
      </c>
      <c r="D400" s="241">
        <v>6000</v>
      </c>
    </row>
    <row r="401" spans="1:10" ht="30" customHeight="1" x14ac:dyDescent="0.45">
      <c r="E401" s="184">
        <f>SUM(D389:D400)</f>
        <v>97825</v>
      </c>
    </row>
    <row r="405" spans="1:10" s="174" customFormat="1" ht="30" customHeight="1" thickBot="1" x14ac:dyDescent="0.5">
      <c r="A405" s="160" t="s">
        <v>500</v>
      </c>
      <c r="B405" s="201"/>
      <c r="C405" s="296"/>
      <c r="D405" s="296"/>
      <c r="E405" s="296"/>
      <c r="I405" s="201"/>
      <c r="J405" s="201"/>
    </row>
    <row r="406" spans="1:10" ht="30" customHeight="1" thickTop="1" x14ac:dyDescent="0.45">
      <c r="A406" s="163" t="s">
        <v>498</v>
      </c>
      <c r="B406" s="166">
        <v>15</v>
      </c>
      <c r="C406" s="240">
        <v>350</v>
      </c>
      <c r="D406" s="241" t="s">
        <v>499</v>
      </c>
    </row>
    <row r="408" spans="1:10" s="174" customFormat="1" ht="30" customHeight="1" thickBot="1" x14ac:dyDescent="0.5">
      <c r="A408" s="160" t="s">
        <v>501</v>
      </c>
      <c r="B408" s="201"/>
      <c r="C408" s="296"/>
      <c r="D408" s="296"/>
      <c r="E408" s="296"/>
      <c r="I408" s="201"/>
      <c r="J408" s="201"/>
    </row>
    <row r="409" spans="1:10" ht="30" customHeight="1" thickTop="1" x14ac:dyDescent="0.45">
      <c r="A409" s="163" t="s">
        <v>502</v>
      </c>
      <c r="B409" s="166">
        <v>500</v>
      </c>
      <c r="C409" s="240">
        <v>37</v>
      </c>
      <c r="D409" s="241">
        <f>C409*B409</f>
        <v>18500</v>
      </c>
    </row>
    <row r="410" spans="1:10" ht="30" customHeight="1" x14ac:dyDescent="0.45">
      <c r="A410" s="163" t="s">
        <v>503</v>
      </c>
      <c r="B410" s="166">
        <v>200</v>
      </c>
      <c r="C410" s="240">
        <v>30</v>
      </c>
      <c r="D410" s="241">
        <f>C410*B410</f>
        <v>6000</v>
      </c>
    </row>
    <row r="411" spans="1:10" ht="30" customHeight="1" x14ac:dyDescent="0.45">
      <c r="A411" s="163" t="s">
        <v>504</v>
      </c>
      <c r="B411" s="166">
        <v>4</v>
      </c>
      <c r="C411" s="240">
        <v>1250</v>
      </c>
      <c r="D411" s="241">
        <f>C411*B411</f>
        <v>5000</v>
      </c>
    </row>
    <row r="414" spans="1:10" ht="30" customHeight="1" x14ac:dyDescent="0.45">
      <c r="A414" s="163" t="s">
        <v>505</v>
      </c>
      <c r="B414" s="166">
        <v>30</v>
      </c>
      <c r="C414" s="240">
        <v>45</v>
      </c>
      <c r="D414" s="241">
        <f>C414*B414</f>
        <v>1350</v>
      </c>
    </row>
    <row r="415" spans="1:10" ht="30" customHeight="1" x14ac:dyDescent="0.45">
      <c r="A415" s="163" t="s">
        <v>506</v>
      </c>
      <c r="B415" s="166">
        <v>1</v>
      </c>
      <c r="C415" s="240">
        <v>3500</v>
      </c>
      <c r="D415" s="241">
        <f>C415*B415</f>
        <v>3500</v>
      </c>
    </row>
    <row r="418" spans="1:10" s="174" customFormat="1" ht="30" customHeight="1" thickBot="1" x14ac:dyDescent="0.5">
      <c r="A418" s="160" t="s">
        <v>507</v>
      </c>
      <c r="B418" s="201"/>
      <c r="C418" s="296"/>
      <c r="D418" s="296"/>
      <c r="E418" s="296"/>
      <c r="I418" s="201"/>
      <c r="J418" s="201"/>
    </row>
    <row r="419" spans="1:10" ht="30" customHeight="1" thickTop="1" x14ac:dyDescent="0.45">
      <c r="A419" s="163" t="s">
        <v>508</v>
      </c>
      <c r="B419" s="166">
        <v>1</v>
      </c>
      <c r="C419" s="240">
        <v>5500</v>
      </c>
      <c r="D419" s="241">
        <f>C419*B419</f>
        <v>5500</v>
      </c>
    </row>
    <row r="420" spans="1:10" ht="30" customHeight="1" x14ac:dyDescent="0.45">
      <c r="A420" s="163" t="s">
        <v>509</v>
      </c>
      <c r="B420" s="166">
        <v>1</v>
      </c>
      <c r="C420" s="240">
        <v>1400</v>
      </c>
      <c r="D420" s="241">
        <f>C420*B420</f>
        <v>1400</v>
      </c>
    </row>
    <row r="421" spans="1:10" ht="30" customHeight="1" x14ac:dyDescent="0.45">
      <c r="A421" s="163" t="s">
        <v>510</v>
      </c>
      <c r="B421" s="166">
        <v>300</v>
      </c>
      <c r="C421" s="240">
        <v>4</v>
      </c>
      <c r="D421" s="241">
        <f>C421*B421</f>
        <v>1200</v>
      </c>
    </row>
    <row r="422" spans="1:10" ht="30" customHeight="1" x14ac:dyDescent="0.45">
      <c r="A422" s="163" t="s">
        <v>511</v>
      </c>
      <c r="B422" s="166">
        <v>500</v>
      </c>
      <c r="C422" s="240">
        <v>6</v>
      </c>
      <c r="D422" s="241">
        <f>C422*B422</f>
        <v>3000</v>
      </c>
    </row>
    <row r="423" spans="1:10" ht="30" customHeight="1" x14ac:dyDescent="0.45">
      <c r="D423" s="241">
        <v>650</v>
      </c>
    </row>
    <row r="425" spans="1:10" ht="30" customHeight="1" x14ac:dyDescent="0.45">
      <c r="B425" s="166">
        <f>B422/B421</f>
        <v>1.6666666666666667</v>
      </c>
      <c r="C425" s="240">
        <f>C422/C421</f>
        <v>1.5</v>
      </c>
      <c r="D425" s="241">
        <f>SUM(D419:D423)</f>
        <v>11750</v>
      </c>
    </row>
    <row r="427" spans="1:10" s="174" customFormat="1" ht="30" customHeight="1" thickBot="1" x14ac:dyDescent="0.5">
      <c r="A427" s="160" t="s">
        <v>519</v>
      </c>
      <c r="B427" s="201"/>
      <c r="C427" s="296"/>
      <c r="D427" s="296"/>
      <c r="E427" s="296"/>
      <c r="I427" s="201"/>
      <c r="J427" s="201"/>
    </row>
    <row r="428" spans="1:10" ht="30" customHeight="1" thickTop="1" x14ac:dyDescent="0.45">
      <c r="A428" s="163" t="s">
        <v>518</v>
      </c>
      <c r="B428" s="166">
        <v>1</v>
      </c>
      <c r="C428" s="240">
        <v>6350</v>
      </c>
      <c r="D428" s="241">
        <v>6350</v>
      </c>
    </row>
    <row r="430" spans="1:10" s="174" customFormat="1" ht="30" customHeight="1" thickBot="1" x14ac:dyDescent="0.5">
      <c r="A430" s="160" t="s">
        <v>520</v>
      </c>
      <c r="B430" s="201"/>
      <c r="C430" s="296"/>
      <c r="D430" s="296"/>
      <c r="E430" s="296"/>
      <c r="I430" s="201"/>
      <c r="J430" s="201"/>
    </row>
    <row r="431" spans="1:10" ht="30" customHeight="1" thickTop="1" x14ac:dyDescent="0.45">
      <c r="A431" s="163" t="s">
        <v>521</v>
      </c>
      <c r="B431" s="166">
        <v>50</v>
      </c>
      <c r="C431" s="240">
        <v>395</v>
      </c>
      <c r="D431" s="241">
        <f>C431*B431</f>
        <v>19750</v>
      </c>
    </row>
    <row r="432" spans="1:10" ht="30" customHeight="1" x14ac:dyDescent="0.45">
      <c r="A432" s="163" t="s">
        <v>522</v>
      </c>
      <c r="B432" s="166">
        <v>50</v>
      </c>
      <c r="C432" s="240">
        <v>500</v>
      </c>
      <c r="D432" s="241">
        <f>C432*B432</f>
        <v>25000</v>
      </c>
    </row>
    <row r="433" spans="1:10" ht="30" customHeight="1" x14ac:dyDescent="0.45">
      <c r="A433" s="163" t="s">
        <v>524</v>
      </c>
      <c r="B433" s="166">
        <v>50</v>
      </c>
      <c r="C433" s="240">
        <v>85</v>
      </c>
      <c r="D433" s="241">
        <f>C433*B433</f>
        <v>4250</v>
      </c>
    </row>
    <row r="434" spans="1:10" ht="30" customHeight="1" x14ac:dyDescent="0.45">
      <c r="A434" s="163" t="s">
        <v>525</v>
      </c>
      <c r="B434" s="166">
        <v>50</v>
      </c>
      <c r="C434" s="240">
        <v>85</v>
      </c>
      <c r="D434" s="241">
        <f>C434*B434</f>
        <v>4250</v>
      </c>
    </row>
    <row r="435" spans="1:10" ht="30" customHeight="1" x14ac:dyDescent="0.45">
      <c r="A435" s="163" t="s">
        <v>498</v>
      </c>
      <c r="B435" s="166">
        <v>50</v>
      </c>
      <c r="C435" s="240">
        <v>650</v>
      </c>
      <c r="D435" s="241">
        <f>C435*B435</f>
        <v>32500</v>
      </c>
    </row>
    <row r="436" spans="1:10" ht="30" customHeight="1" x14ac:dyDescent="0.45">
      <c r="D436" s="241">
        <f>SUM(D431:D435)</f>
        <v>85750</v>
      </c>
    </row>
    <row r="438" spans="1:10" s="174" customFormat="1" ht="30" customHeight="1" thickBot="1" x14ac:dyDescent="0.5">
      <c r="A438" s="160" t="s">
        <v>523</v>
      </c>
      <c r="B438" s="201"/>
      <c r="C438" s="296"/>
      <c r="D438" s="296"/>
      <c r="E438" s="296"/>
      <c r="I438" s="201"/>
      <c r="J438" s="201"/>
    </row>
    <row r="439" spans="1:10" ht="30" customHeight="1" thickTop="1" x14ac:dyDescent="0.45"/>
    <row r="441" spans="1:10" s="174" customFormat="1" ht="30" customHeight="1" thickBot="1" x14ac:dyDescent="0.5">
      <c r="A441" s="160"/>
      <c r="B441" s="201"/>
      <c r="C441" s="296"/>
      <c r="D441" s="296"/>
      <c r="E441" s="296"/>
      <c r="I441" s="201"/>
      <c r="J441" s="201"/>
    </row>
    <row r="442" spans="1:10" ht="30" customHeight="1" thickTop="1" x14ac:dyDescent="0.45">
      <c r="A442" s="163" t="s">
        <v>526</v>
      </c>
      <c r="B442" s="166">
        <v>1</v>
      </c>
      <c r="C442" s="240">
        <v>1700</v>
      </c>
      <c r="D442" s="241">
        <v>1700</v>
      </c>
    </row>
    <row r="443" spans="1:10" ht="30" customHeight="1" x14ac:dyDescent="0.45">
      <c r="A443" s="163" t="s">
        <v>527</v>
      </c>
      <c r="B443" s="166">
        <v>1</v>
      </c>
      <c r="C443" s="240">
        <v>7750</v>
      </c>
      <c r="D443" s="241">
        <v>7750</v>
      </c>
    </row>
    <row r="446" spans="1:10" s="174" customFormat="1" ht="30" customHeight="1" thickBot="1" x14ac:dyDescent="0.5">
      <c r="A446" s="160" t="s">
        <v>528</v>
      </c>
      <c r="B446" s="201"/>
      <c r="C446" s="296"/>
      <c r="D446" s="296"/>
      <c r="E446" s="296"/>
      <c r="I446" s="201"/>
      <c r="J446" s="201"/>
    </row>
    <row r="447" spans="1:10" ht="30" customHeight="1" thickTop="1" x14ac:dyDescent="0.45">
      <c r="A447" s="163" t="s">
        <v>529</v>
      </c>
      <c r="B447" s="166">
        <v>32</v>
      </c>
      <c r="C447" s="240">
        <v>175</v>
      </c>
      <c r="I447" s="198" t="s">
        <v>530</v>
      </c>
    </row>
    <row r="449" spans="1:9" ht="30" customHeight="1" x14ac:dyDescent="0.45">
      <c r="A449" s="163" t="s">
        <v>216</v>
      </c>
      <c r="B449" s="257">
        <v>31</v>
      </c>
      <c r="C449" s="246">
        <v>45</v>
      </c>
      <c r="D449" s="247">
        <v>1215</v>
      </c>
      <c r="I449" s="198" t="s">
        <v>546</v>
      </c>
    </row>
    <row r="450" spans="1:9" ht="30" customHeight="1" x14ac:dyDescent="0.45">
      <c r="A450" s="163" t="s">
        <v>217</v>
      </c>
      <c r="B450" s="248">
        <v>24</v>
      </c>
      <c r="C450" s="240">
        <v>260</v>
      </c>
      <c r="D450" s="241">
        <v>6240</v>
      </c>
    </row>
    <row r="451" spans="1:9" ht="30" customHeight="1" x14ac:dyDescent="0.45">
      <c r="A451" s="163" t="s">
        <v>218</v>
      </c>
      <c r="B451" s="248">
        <v>15</v>
      </c>
      <c r="C451" s="240">
        <v>21</v>
      </c>
      <c r="D451" s="241">
        <v>315</v>
      </c>
    </row>
    <row r="452" spans="1:9" ht="30" customHeight="1" x14ac:dyDescent="0.45">
      <c r="A452" s="163" t="s">
        <v>253</v>
      </c>
      <c r="B452" s="248">
        <v>8</v>
      </c>
      <c r="C452" s="240">
        <v>62</v>
      </c>
      <c r="D452" s="241">
        <v>496</v>
      </c>
    </row>
    <row r="454" spans="1:9" ht="30" customHeight="1" x14ac:dyDescent="0.45">
      <c r="A454" s="163" t="s">
        <v>547</v>
      </c>
      <c r="B454" s="166">
        <v>200</v>
      </c>
      <c r="C454" s="240">
        <v>40</v>
      </c>
      <c r="D454" s="241">
        <v>8000</v>
      </c>
    </row>
    <row r="456" spans="1:9" ht="30" customHeight="1" x14ac:dyDescent="0.45">
      <c r="A456" s="163" t="s">
        <v>548</v>
      </c>
      <c r="I456" s="198" t="s">
        <v>549</v>
      </c>
    </row>
    <row r="466" spans="1:10" s="174" customFormat="1" ht="30" customHeight="1" thickBot="1" x14ac:dyDescent="0.5">
      <c r="A466" s="160" t="s">
        <v>545</v>
      </c>
      <c r="B466" s="201"/>
      <c r="C466" s="296"/>
      <c r="D466" s="296"/>
      <c r="E466" s="296"/>
      <c r="I466" s="201"/>
      <c r="J466" s="201"/>
    </row>
    <row r="467" spans="1:10" ht="30" customHeight="1" thickTop="1" x14ac:dyDescent="0.45">
      <c r="A467" s="185" t="s">
        <v>0</v>
      </c>
      <c r="B467" s="301" t="s">
        <v>1</v>
      </c>
      <c r="C467" s="302" t="s">
        <v>2</v>
      </c>
      <c r="D467" s="303" t="s">
        <v>3</v>
      </c>
    </row>
    <row r="468" spans="1:10" ht="30" customHeight="1" x14ac:dyDescent="0.45">
      <c r="A468" s="163" t="s">
        <v>531</v>
      </c>
      <c r="B468" s="166">
        <v>50</v>
      </c>
      <c r="C468" s="240">
        <v>465</v>
      </c>
      <c r="D468" s="241">
        <f>C468*B468</f>
        <v>23250</v>
      </c>
    </row>
    <row r="469" spans="1:10" ht="30" customHeight="1" x14ac:dyDescent="0.45">
      <c r="A469" s="163" t="s">
        <v>532</v>
      </c>
      <c r="B469" s="166">
        <v>100</v>
      </c>
      <c r="C469" s="240">
        <v>3</v>
      </c>
      <c r="D469" s="241">
        <f t="shared" ref="D469:D482" si="8">C469*B469</f>
        <v>300</v>
      </c>
    </row>
    <row r="470" spans="1:10" ht="30" customHeight="1" x14ac:dyDescent="0.45">
      <c r="A470" s="163" t="s">
        <v>533</v>
      </c>
      <c r="B470" s="166">
        <v>150</v>
      </c>
      <c r="C470" s="240">
        <v>40</v>
      </c>
      <c r="D470" s="241">
        <f t="shared" si="8"/>
        <v>6000</v>
      </c>
    </row>
    <row r="471" spans="1:10" ht="30" customHeight="1" x14ac:dyDescent="0.45">
      <c r="A471" s="163" t="s">
        <v>535</v>
      </c>
      <c r="B471" s="166">
        <v>300</v>
      </c>
      <c r="C471" s="240">
        <v>34</v>
      </c>
      <c r="D471" s="241">
        <f t="shared" si="8"/>
        <v>10200</v>
      </c>
    </row>
    <row r="472" spans="1:10" ht="30" customHeight="1" x14ac:dyDescent="0.45">
      <c r="A472" s="163" t="s">
        <v>534</v>
      </c>
      <c r="B472" s="166">
        <v>100</v>
      </c>
      <c r="C472" s="240">
        <v>75</v>
      </c>
      <c r="D472" s="241">
        <f t="shared" si="8"/>
        <v>7500</v>
      </c>
    </row>
    <row r="473" spans="1:10" ht="30" customHeight="1" x14ac:dyDescent="0.45">
      <c r="A473" s="163" t="s">
        <v>536</v>
      </c>
      <c r="B473" s="166">
        <v>1</v>
      </c>
      <c r="C473" s="240">
        <v>4850</v>
      </c>
      <c r="D473" s="241">
        <f t="shared" si="8"/>
        <v>4850</v>
      </c>
    </row>
    <row r="474" spans="1:10" ht="30" customHeight="1" x14ac:dyDescent="0.45">
      <c r="A474" s="163" t="s">
        <v>537</v>
      </c>
      <c r="B474" s="166">
        <v>1</v>
      </c>
      <c r="C474" s="240">
        <v>100</v>
      </c>
      <c r="D474" s="241">
        <f t="shared" si="8"/>
        <v>100</v>
      </c>
    </row>
    <row r="475" spans="1:10" ht="30" customHeight="1" x14ac:dyDescent="0.45">
      <c r="A475" s="163" t="s">
        <v>538</v>
      </c>
      <c r="B475" s="166">
        <v>1</v>
      </c>
      <c r="C475" s="240">
        <v>600</v>
      </c>
      <c r="D475" s="241">
        <f t="shared" si="8"/>
        <v>600</v>
      </c>
    </row>
    <row r="476" spans="1:10" ht="30" customHeight="1" x14ac:dyDescent="0.45">
      <c r="A476" s="163" t="s">
        <v>539</v>
      </c>
      <c r="B476" s="166">
        <v>1</v>
      </c>
      <c r="C476" s="240">
        <v>1100</v>
      </c>
      <c r="D476" s="241">
        <f t="shared" si="8"/>
        <v>1100</v>
      </c>
    </row>
    <row r="477" spans="1:10" ht="30" customHeight="1" x14ac:dyDescent="0.45">
      <c r="A477" s="163" t="s">
        <v>540</v>
      </c>
      <c r="B477" s="166">
        <v>150</v>
      </c>
      <c r="C477" s="240">
        <v>4</v>
      </c>
      <c r="D477" s="241">
        <f t="shared" si="8"/>
        <v>600</v>
      </c>
    </row>
    <row r="478" spans="1:10" ht="30" customHeight="1" x14ac:dyDescent="0.45">
      <c r="A478" s="163" t="s">
        <v>541</v>
      </c>
      <c r="B478" s="166">
        <v>1</v>
      </c>
      <c r="C478" s="240">
        <v>505</v>
      </c>
      <c r="D478" s="241">
        <f t="shared" si="8"/>
        <v>505</v>
      </c>
    </row>
    <row r="479" spans="1:10" ht="30" customHeight="1" x14ac:dyDescent="0.45">
      <c r="A479" s="163" t="s">
        <v>542</v>
      </c>
      <c r="B479" s="166">
        <v>12</v>
      </c>
      <c r="C479" s="240">
        <v>16</v>
      </c>
      <c r="D479" s="241">
        <f t="shared" si="8"/>
        <v>192</v>
      </c>
    </row>
    <row r="480" spans="1:10" ht="30" customHeight="1" x14ac:dyDescent="0.45">
      <c r="A480" s="163" t="s">
        <v>543</v>
      </c>
      <c r="B480" s="166">
        <v>2</v>
      </c>
      <c r="C480" s="240">
        <v>3500</v>
      </c>
      <c r="D480" s="241">
        <f t="shared" si="8"/>
        <v>7000</v>
      </c>
    </row>
    <row r="481" spans="1:10" ht="30" customHeight="1" x14ac:dyDescent="0.45">
      <c r="A481" s="163" t="s">
        <v>544</v>
      </c>
      <c r="B481" s="166">
        <v>1</v>
      </c>
      <c r="C481" s="240">
        <v>6750</v>
      </c>
      <c r="D481" s="241">
        <f t="shared" si="8"/>
        <v>6750</v>
      </c>
    </row>
    <row r="482" spans="1:10" ht="30" customHeight="1" x14ac:dyDescent="0.45">
      <c r="A482" s="163" t="s">
        <v>556</v>
      </c>
      <c r="B482" s="166">
        <v>13</v>
      </c>
      <c r="C482" s="240">
        <v>297</v>
      </c>
      <c r="D482" s="241">
        <f t="shared" si="8"/>
        <v>3861</v>
      </c>
    </row>
    <row r="484" spans="1:10" ht="30" customHeight="1" x14ac:dyDescent="0.45">
      <c r="D484" s="241">
        <f>SUM(D468:D482)</f>
        <v>72808</v>
      </c>
    </row>
    <row r="488" spans="1:10" s="174" customFormat="1" ht="30" customHeight="1" thickBot="1" x14ac:dyDescent="0.5">
      <c r="A488" s="160" t="s">
        <v>555</v>
      </c>
      <c r="B488" s="201"/>
      <c r="C488" s="296"/>
      <c r="D488" s="296"/>
      <c r="E488" s="296"/>
      <c r="I488" s="201"/>
      <c r="J488" s="201"/>
    </row>
    <row r="489" spans="1:10" ht="30" customHeight="1" thickTop="1" x14ac:dyDescent="0.45">
      <c r="A489" s="163" t="s">
        <v>551</v>
      </c>
      <c r="B489" s="166">
        <v>59</v>
      </c>
      <c r="C489" s="240">
        <v>120</v>
      </c>
      <c r="D489" s="241">
        <f>C489*B489</f>
        <v>7080</v>
      </c>
    </row>
    <row r="490" spans="1:10" ht="30" customHeight="1" x14ac:dyDescent="0.45">
      <c r="A490" s="163" t="s">
        <v>550</v>
      </c>
      <c r="B490" s="166">
        <v>10</v>
      </c>
      <c r="C490" s="240">
        <v>475</v>
      </c>
      <c r="D490" s="241">
        <f>C490*B490</f>
        <v>4750</v>
      </c>
    </row>
    <row r="491" spans="1:10" ht="30" customHeight="1" x14ac:dyDescent="0.45">
      <c r="A491" s="163" t="s">
        <v>552</v>
      </c>
      <c r="B491" s="166">
        <v>1</v>
      </c>
      <c r="C491" s="240">
        <v>4000</v>
      </c>
      <c r="D491" s="241">
        <v>4000</v>
      </c>
    </row>
    <row r="492" spans="1:10" ht="30" customHeight="1" x14ac:dyDescent="0.45">
      <c r="A492" s="163" t="s">
        <v>553</v>
      </c>
      <c r="B492" s="166">
        <v>1</v>
      </c>
      <c r="C492" s="240">
        <v>3750</v>
      </c>
      <c r="D492" s="241">
        <v>3750</v>
      </c>
    </row>
    <row r="493" spans="1:10" ht="30" customHeight="1" x14ac:dyDescent="0.45">
      <c r="A493" s="163" t="s">
        <v>554</v>
      </c>
      <c r="B493" s="166">
        <v>54</v>
      </c>
      <c r="C493" s="240">
        <v>105</v>
      </c>
      <c r="D493" s="241">
        <f>C493*B493</f>
        <v>5670</v>
      </c>
    </row>
    <row r="494" spans="1:10" ht="30" customHeight="1" x14ac:dyDescent="0.45">
      <c r="D494" s="241">
        <f>SUM(D491:D493)</f>
        <v>13420</v>
      </c>
    </row>
    <row r="496" spans="1:10" s="174" customFormat="1" ht="30" customHeight="1" thickBot="1" x14ac:dyDescent="0.5">
      <c r="A496" s="160" t="s">
        <v>564</v>
      </c>
      <c r="B496" s="201"/>
      <c r="C496" s="296"/>
      <c r="D496" s="296"/>
      <c r="E496" s="296"/>
      <c r="I496" s="201"/>
      <c r="J496" s="201"/>
    </row>
    <row r="497" spans="1:10" ht="30" customHeight="1" thickTop="1" x14ac:dyDescent="0.45">
      <c r="A497" s="158" t="s">
        <v>0</v>
      </c>
      <c r="B497" s="186" t="s">
        <v>1</v>
      </c>
      <c r="C497" s="187" t="s">
        <v>2</v>
      </c>
      <c r="D497" s="188" t="s">
        <v>3</v>
      </c>
    </row>
    <row r="498" spans="1:10" ht="30" customHeight="1" x14ac:dyDescent="0.45">
      <c r="A498" s="163" t="s">
        <v>559</v>
      </c>
      <c r="B498" s="166">
        <v>100</v>
      </c>
      <c r="C498" s="240">
        <v>85</v>
      </c>
      <c r="D498" s="241">
        <f>C498*B498</f>
        <v>8500</v>
      </c>
    </row>
    <row r="499" spans="1:10" ht="30" customHeight="1" x14ac:dyDescent="0.45">
      <c r="A499" s="163" t="s">
        <v>560</v>
      </c>
      <c r="B499" s="166">
        <v>100</v>
      </c>
      <c r="C499" s="240">
        <v>127.5</v>
      </c>
      <c r="D499" s="241">
        <f>C499*B499</f>
        <v>12750</v>
      </c>
    </row>
    <row r="500" spans="1:10" ht="30" customHeight="1" x14ac:dyDescent="0.45">
      <c r="A500" s="163" t="s">
        <v>563</v>
      </c>
      <c r="B500" s="166">
        <v>100</v>
      </c>
      <c r="C500" s="240">
        <v>335</v>
      </c>
      <c r="D500" s="241">
        <f>C500*B500</f>
        <v>33500</v>
      </c>
    </row>
    <row r="501" spans="1:10" ht="30" customHeight="1" x14ac:dyDescent="0.45">
      <c r="A501" s="163" t="s">
        <v>561</v>
      </c>
      <c r="B501" s="166">
        <v>30</v>
      </c>
      <c r="C501" s="240">
        <v>935</v>
      </c>
      <c r="D501" s="241">
        <f>C501*B501</f>
        <v>28050</v>
      </c>
    </row>
    <row r="502" spans="1:10" ht="30" customHeight="1" x14ac:dyDescent="0.45">
      <c r="A502" s="163" t="s">
        <v>562</v>
      </c>
      <c r="B502" s="166">
        <v>100</v>
      </c>
      <c r="C502" s="240">
        <v>265</v>
      </c>
      <c r="D502" s="241">
        <f>C502*B502</f>
        <v>26500</v>
      </c>
    </row>
    <row r="507" spans="1:10" s="174" customFormat="1" ht="30" customHeight="1" thickBot="1" x14ac:dyDescent="0.5">
      <c r="A507" s="160" t="s">
        <v>566</v>
      </c>
      <c r="B507" s="201"/>
      <c r="C507" s="296"/>
      <c r="D507" s="296"/>
      <c r="E507" s="296"/>
      <c r="I507" s="201"/>
      <c r="J507" s="201"/>
    </row>
    <row r="508" spans="1:10" ht="30" customHeight="1" thickTop="1" x14ac:dyDescent="0.45">
      <c r="A508" s="158" t="s">
        <v>0</v>
      </c>
      <c r="B508" s="186" t="s">
        <v>1</v>
      </c>
      <c r="C508" s="187" t="s">
        <v>2</v>
      </c>
      <c r="D508" s="188" t="s">
        <v>3</v>
      </c>
    </row>
    <row r="509" spans="1:10" ht="30" customHeight="1" x14ac:dyDescent="0.45">
      <c r="A509" s="163" t="s">
        <v>579</v>
      </c>
      <c r="B509" s="166">
        <v>1</v>
      </c>
      <c r="C509" s="240">
        <v>4550</v>
      </c>
      <c r="D509" s="241">
        <f t="shared" ref="D509:D518" si="9">C509*B509</f>
        <v>4550</v>
      </c>
    </row>
    <row r="510" spans="1:10" ht="30" customHeight="1" x14ac:dyDescent="0.45">
      <c r="A510" s="163" t="s">
        <v>578</v>
      </c>
      <c r="B510" s="166">
        <v>11</v>
      </c>
      <c r="C510" s="240">
        <v>230</v>
      </c>
      <c r="D510" s="241">
        <f t="shared" si="9"/>
        <v>2530</v>
      </c>
    </row>
    <row r="511" spans="1:10" ht="30" customHeight="1" x14ac:dyDescent="0.45">
      <c r="A511" s="163" t="s">
        <v>587</v>
      </c>
      <c r="B511" s="166">
        <v>2</v>
      </c>
      <c r="C511" s="240">
        <v>1250</v>
      </c>
      <c r="D511" s="241">
        <f t="shared" si="9"/>
        <v>2500</v>
      </c>
    </row>
    <row r="512" spans="1:10" ht="30" customHeight="1" x14ac:dyDescent="0.45">
      <c r="A512" s="163" t="s">
        <v>580</v>
      </c>
      <c r="B512" s="166">
        <v>1</v>
      </c>
      <c r="C512" s="240">
        <v>240</v>
      </c>
      <c r="D512" s="241">
        <f t="shared" si="9"/>
        <v>240</v>
      </c>
    </row>
    <row r="513" spans="1:10" ht="30" customHeight="1" x14ac:dyDescent="0.45">
      <c r="A513" s="163" t="s">
        <v>584</v>
      </c>
      <c r="B513" s="166">
        <v>2</v>
      </c>
      <c r="C513" s="240">
        <v>160</v>
      </c>
      <c r="D513" s="241">
        <f t="shared" si="9"/>
        <v>320</v>
      </c>
    </row>
    <row r="514" spans="1:10" ht="30" customHeight="1" x14ac:dyDescent="0.45">
      <c r="A514" s="163" t="s">
        <v>581</v>
      </c>
      <c r="B514" s="166">
        <v>2</v>
      </c>
      <c r="C514" s="240">
        <v>450</v>
      </c>
      <c r="D514" s="241">
        <f t="shared" si="9"/>
        <v>900</v>
      </c>
    </row>
    <row r="515" spans="1:10" ht="30" customHeight="1" x14ac:dyDescent="0.45">
      <c r="A515" s="163" t="s">
        <v>585</v>
      </c>
      <c r="B515" s="166">
        <v>1</v>
      </c>
      <c r="C515" s="240">
        <v>130</v>
      </c>
      <c r="D515" s="241">
        <f t="shared" si="9"/>
        <v>130</v>
      </c>
    </row>
    <row r="516" spans="1:10" ht="30" customHeight="1" x14ac:dyDescent="0.45">
      <c r="A516" s="163" t="s">
        <v>582</v>
      </c>
      <c r="B516" s="166">
        <v>1</v>
      </c>
      <c r="C516" s="240">
        <v>1800</v>
      </c>
      <c r="D516" s="241">
        <f t="shared" si="9"/>
        <v>1800</v>
      </c>
    </row>
    <row r="517" spans="1:10" ht="30" customHeight="1" x14ac:dyDescent="0.45">
      <c r="A517" s="163" t="s">
        <v>583</v>
      </c>
      <c r="B517" s="166">
        <v>1</v>
      </c>
      <c r="C517" s="240">
        <v>1450</v>
      </c>
      <c r="D517" s="241">
        <f t="shared" si="9"/>
        <v>1450</v>
      </c>
    </row>
    <row r="518" spans="1:10" ht="30" customHeight="1" x14ac:dyDescent="0.45">
      <c r="A518" s="163" t="s">
        <v>586</v>
      </c>
      <c r="B518" s="166">
        <v>1</v>
      </c>
      <c r="C518" s="240">
        <v>18950</v>
      </c>
      <c r="D518" s="241">
        <f t="shared" si="9"/>
        <v>18950</v>
      </c>
    </row>
    <row r="519" spans="1:10" ht="30" customHeight="1" x14ac:dyDescent="0.45">
      <c r="A519" s="163" t="s">
        <v>589</v>
      </c>
      <c r="B519" s="166">
        <v>1</v>
      </c>
      <c r="C519" s="240">
        <v>8861</v>
      </c>
      <c r="D519" s="241">
        <f>C519*B519</f>
        <v>8861</v>
      </c>
    </row>
    <row r="521" spans="1:10" s="174" customFormat="1" ht="30" customHeight="1" thickBot="1" x14ac:dyDescent="0.5">
      <c r="A521" s="160" t="s">
        <v>599</v>
      </c>
      <c r="B521" s="201"/>
      <c r="C521" s="296"/>
      <c r="D521" s="296"/>
      <c r="E521" s="296"/>
      <c r="I521" s="201"/>
      <c r="J521" s="201"/>
    </row>
    <row r="522" spans="1:10" ht="30" customHeight="1" thickTop="1" x14ac:dyDescent="0.45">
      <c r="A522" s="163" t="s">
        <v>600</v>
      </c>
      <c r="B522" s="166">
        <v>48</v>
      </c>
      <c r="C522" s="240">
        <v>75</v>
      </c>
    </row>
    <row r="523" spans="1:10" ht="30" customHeight="1" x14ac:dyDescent="0.45">
      <c r="A523" s="163" t="s">
        <v>601</v>
      </c>
      <c r="B523" s="166">
        <v>96</v>
      </c>
      <c r="C523" s="240">
        <v>45</v>
      </c>
    </row>
    <row r="524" spans="1:10" ht="30" customHeight="1" x14ac:dyDescent="0.45">
      <c r="A524" s="163" t="s">
        <v>614</v>
      </c>
      <c r="B524" s="166">
        <v>1</v>
      </c>
      <c r="C524" s="240">
        <v>300</v>
      </c>
    </row>
    <row r="525" spans="1:10" ht="30" customHeight="1" x14ac:dyDescent="0.45">
      <c r="A525" s="163" t="s">
        <v>613</v>
      </c>
      <c r="B525" s="166">
        <v>1</v>
      </c>
      <c r="C525" s="240">
        <v>150</v>
      </c>
    </row>
    <row r="526" spans="1:10" ht="30" customHeight="1" x14ac:dyDescent="0.45">
      <c r="A526" s="163" t="s">
        <v>612</v>
      </c>
      <c r="B526" s="166">
        <v>10</v>
      </c>
      <c r="C526" s="240">
        <v>45</v>
      </c>
    </row>
    <row r="527" spans="1:10" ht="30" customHeight="1" x14ac:dyDescent="0.45">
      <c r="A527" s="163" t="s">
        <v>615</v>
      </c>
      <c r="B527" s="166">
        <v>10</v>
      </c>
      <c r="C527" s="240">
        <v>40</v>
      </c>
    </row>
    <row r="529" spans="1:10" s="174" customFormat="1" ht="30" customHeight="1" thickBot="1" x14ac:dyDescent="0.5">
      <c r="A529" s="160" t="s">
        <v>602</v>
      </c>
      <c r="B529" s="201"/>
      <c r="C529" s="296"/>
      <c r="D529" s="296"/>
      <c r="E529" s="296"/>
      <c r="I529" s="201"/>
      <c r="J529" s="201"/>
    </row>
    <row r="530" spans="1:10" ht="30" customHeight="1" thickTop="1" x14ac:dyDescent="0.45">
      <c r="A530" s="163" t="s">
        <v>75</v>
      </c>
      <c r="B530" s="166">
        <v>50</v>
      </c>
      <c r="C530" s="240">
        <v>279</v>
      </c>
      <c r="D530" s="241">
        <f>C530*B530</f>
        <v>13950</v>
      </c>
    </row>
    <row r="531" spans="1:10" ht="30" customHeight="1" x14ac:dyDescent="0.45">
      <c r="A531" s="163" t="s">
        <v>558</v>
      </c>
      <c r="B531" s="166">
        <v>30</v>
      </c>
      <c r="C531" s="240">
        <v>1038</v>
      </c>
      <c r="D531" s="241">
        <f>C531*B531</f>
        <v>31140</v>
      </c>
    </row>
    <row r="534" spans="1:10" s="174" customFormat="1" ht="30" customHeight="1" thickBot="1" x14ac:dyDescent="0.5">
      <c r="A534" s="160" t="s">
        <v>603</v>
      </c>
      <c r="B534" s="201"/>
      <c r="C534" s="296"/>
      <c r="D534" s="296"/>
      <c r="E534" s="296"/>
      <c r="I534" s="201"/>
      <c r="J534" s="201"/>
    </row>
    <row r="535" spans="1:10" ht="30" customHeight="1" thickTop="1" x14ac:dyDescent="0.45">
      <c r="A535" s="163" t="s">
        <v>609</v>
      </c>
      <c r="B535" s="166">
        <v>4</v>
      </c>
      <c r="C535" s="240">
        <v>71</v>
      </c>
      <c r="D535" s="241">
        <f>C535*B535</f>
        <v>284</v>
      </c>
    </row>
    <row r="536" spans="1:10" ht="30" customHeight="1" x14ac:dyDescent="0.45">
      <c r="A536" s="163" t="s">
        <v>610</v>
      </c>
      <c r="B536" s="166">
        <v>69</v>
      </c>
      <c r="C536" s="240">
        <v>22</v>
      </c>
      <c r="D536" s="241">
        <f t="shared" ref="D536:D545" si="10">C536*B536</f>
        <v>1518</v>
      </c>
    </row>
    <row r="537" spans="1:10" ht="30" customHeight="1" x14ac:dyDescent="0.45">
      <c r="A537" s="163" t="s">
        <v>611</v>
      </c>
      <c r="B537" s="166">
        <v>14</v>
      </c>
      <c r="C537" s="240">
        <v>136</v>
      </c>
      <c r="D537" s="241">
        <f t="shared" si="10"/>
        <v>1904</v>
      </c>
    </row>
    <row r="538" spans="1:10" ht="30" customHeight="1" x14ac:dyDescent="0.45">
      <c r="A538" s="163" t="s">
        <v>619</v>
      </c>
    </row>
    <row r="539" spans="1:10" ht="30" customHeight="1" x14ac:dyDescent="0.45">
      <c r="A539" s="163" t="s">
        <v>609</v>
      </c>
      <c r="B539" s="166">
        <v>4</v>
      </c>
      <c r="C539" s="240">
        <v>75</v>
      </c>
      <c r="D539" s="241">
        <f t="shared" si="10"/>
        <v>300</v>
      </c>
    </row>
    <row r="540" spans="1:10" ht="30" customHeight="1" x14ac:dyDescent="0.45">
      <c r="A540" s="163" t="s">
        <v>610</v>
      </c>
      <c r="B540" s="166">
        <v>69</v>
      </c>
      <c r="C540" s="240">
        <v>25</v>
      </c>
      <c r="D540" s="241">
        <f t="shared" si="10"/>
        <v>1725</v>
      </c>
    </row>
    <row r="541" spans="1:10" ht="30" customHeight="1" x14ac:dyDescent="0.45">
      <c r="A541" s="163" t="s">
        <v>611</v>
      </c>
      <c r="B541" s="166">
        <v>14</v>
      </c>
      <c r="C541" s="240">
        <v>142</v>
      </c>
      <c r="D541" s="241">
        <f t="shared" si="10"/>
        <v>1988</v>
      </c>
    </row>
    <row r="543" spans="1:10" ht="30" customHeight="1" x14ac:dyDescent="0.45">
      <c r="A543" s="163" t="s">
        <v>609</v>
      </c>
      <c r="B543" s="166">
        <v>4</v>
      </c>
      <c r="C543" s="240">
        <v>78</v>
      </c>
      <c r="D543" s="241">
        <f t="shared" si="10"/>
        <v>312</v>
      </c>
    </row>
    <row r="544" spans="1:10" ht="30" customHeight="1" x14ac:dyDescent="0.45">
      <c r="A544" s="163" t="s">
        <v>610</v>
      </c>
      <c r="B544" s="166">
        <v>69</v>
      </c>
      <c r="C544" s="240">
        <v>28</v>
      </c>
      <c r="D544" s="241">
        <f t="shared" si="10"/>
        <v>1932</v>
      </c>
    </row>
    <row r="545" spans="1:10" ht="30" customHeight="1" x14ac:dyDescent="0.45">
      <c r="A545" s="163" t="s">
        <v>611</v>
      </c>
      <c r="B545" s="166">
        <v>14</v>
      </c>
      <c r="C545" s="240">
        <v>145</v>
      </c>
      <c r="D545" s="241">
        <f t="shared" si="10"/>
        <v>2030</v>
      </c>
    </row>
    <row r="548" spans="1:10" ht="30" customHeight="1" x14ac:dyDescent="0.45">
      <c r="B548" s="166">
        <v>19</v>
      </c>
      <c r="C548" s="240">
        <v>0</v>
      </c>
    </row>
    <row r="549" spans="1:10" s="174" customFormat="1" ht="30" customHeight="1" thickBot="1" x14ac:dyDescent="0.5">
      <c r="A549" s="160" t="s">
        <v>604</v>
      </c>
      <c r="B549" s="201"/>
      <c r="C549" s="296"/>
      <c r="D549" s="296"/>
      <c r="E549" s="296"/>
      <c r="I549" s="201"/>
      <c r="J549" s="201"/>
    </row>
    <row r="550" spans="1:10" ht="30" customHeight="1" thickTop="1" x14ac:dyDescent="0.45">
      <c r="A550" s="163" t="s">
        <v>605</v>
      </c>
      <c r="B550" s="166">
        <v>700</v>
      </c>
      <c r="C550" s="240">
        <v>41</v>
      </c>
      <c r="D550" s="241">
        <f t="shared" ref="D550:D563" si="11">C550*B550</f>
        <v>28700</v>
      </c>
    </row>
    <row r="551" spans="1:10" ht="30" customHeight="1" x14ac:dyDescent="0.45">
      <c r="A551" s="163" t="s">
        <v>606</v>
      </c>
      <c r="B551" s="166">
        <v>50</v>
      </c>
      <c r="C551" s="240">
        <v>41</v>
      </c>
      <c r="D551" s="241">
        <f t="shared" si="11"/>
        <v>2050</v>
      </c>
    </row>
    <row r="552" spans="1:10" ht="30" customHeight="1" x14ac:dyDescent="0.45">
      <c r="A552" s="163" t="s">
        <v>607</v>
      </c>
      <c r="B552" s="166">
        <v>700</v>
      </c>
      <c r="C552" s="240">
        <v>39</v>
      </c>
      <c r="D552" s="241">
        <f t="shared" si="11"/>
        <v>27300</v>
      </c>
    </row>
    <row r="553" spans="1:10" ht="30" customHeight="1" x14ac:dyDescent="0.45">
      <c r="A553" s="163" t="s">
        <v>608</v>
      </c>
      <c r="B553" s="166">
        <v>700</v>
      </c>
      <c r="C553" s="240">
        <v>88</v>
      </c>
      <c r="D553" s="241">
        <f t="shared" si="11"/>
        <v>61600</v>
      </c>
    </row>
    <row r="554" spans="1:10" ht="30" customHeight="1" x14ac:dyDescent="0.45">
      <c r="A554" s="163" t="s">
        <v>619</v>
      </c>
      <c r="D554" s="241">
        <f t="shared" si="11"/>
        <v>0</v>
      </c>
    </row>
    <row r="555" spans="1:10" ht="30" customHeight="1" x14ac:dyDescent="0.45">
      <c r="A555" s="163" t="s">
        <v>605</v>
      </c>
      <c r="B555" s="166">
        <v>700</v>
      </c>
      <c r="C555" s="240">
        <v>42</v>
      </c>
      <c r="D555" s="241">
        <f t="shared" si="11"/>
        <v>29400</v>
      </c>
    </row>
    <row r="556" spans="1:10" ht="30" customHeight="1" x14ac:dyDescent="0.45">
      <c r="A556" s="163" t="s">
        <v>606</v>
      </c>
      <c r="B556" s="166">
        <v>50</v>
      </c>
      <c r="C556" s="240">
        <v>42</v>
      </c>
      <c r="D556" s="241">
        <f t="shared" si="11"/>
        <v>2100</v>
      </c>
    </row>
    <row r="557" spans="1:10" ht="30" customHeight="1" x14ac:dyDescent="0.45">
      <c r="A557" s="163" t="s">
        <v>607</v>
      </c>
      <c r="B557" s="166">
        <v>700</v>
      </c>
      <c r="C557" s="240">
        <v>40</v>
      </c>
      <c r="D557" s="241">
        <f t="shared" si="11"/>
        <v>28000</v>
      </c>
    </row>
    <row r="558" spans="1:10" ht="30" customHeight="1" x14ac:dyDescent="0.45">
      <c r="A558" s="163" t="s">
        <v>608</v>
      </c>
      <c r="B558" s="166">
        <v>700</v>
      </c>
      <c r="C558" s="240">
        <v>89</v>
      </c>
      <c r="D558" s="241">
        <f t="shared" si="11"/>
        <v>62300</v>
      </c>
    </row>
    <row r="559" spans="1:10" ht="30" customHeight="1" x14ac:dyDescent="0.45">
      <c r="D559" s="241">
        <f t="shared" si="11"/>
        <v>0</v>
      </c>
    </row>
    <row r="560" spans="1:10" ht="30" customHeight="1" x14ac:dyDescent="0.45">
      <c r="A560" s="163" t="s">
        <v>605</v>
      </c>
      <c r="B560" s="166">
        <v>700</v>
      </c>
      <c r="C560" s="240">
        <v>43</v>
      </c>
      <c r="D560" s="241">
        <f t="shared" si="11"/>
        <v>30100</v>
      </c>
    </row>
    <row r="561" spans="1:10" ht="30" customHeight="1" x14ac:dyDescent="0.45">
      <c r="A561" s="163" t="s">
        <v>606</v>
      </c>
      <c r="B561" s="166">
        <v>50</v>
      </c>
      <c r="C561" s="240">
        <v>43</v>
      </c>
      <c r="D561" s="241">
        <f t="shared" si="11"/>
        <v>2150</v>
      </c>
    </row>
    <row r="562" spans="1:10" ht="30" customHeight="1" x14ac:dyDescent="0.45">
      <c r="A562" s="163" t="s">
        <v>607</v>
      </c>
      <c r="B562" s="166">
        <v>700</v>
      </c>
      <c r="C562" s="240">
        <v>42</v>
      </c>
      <c r="D562" s="241">
        <f t="shared" si="11"/>
        <v>29400</v>
      </c>
    </row>
    <row r="563" spans="1:10" ht="30" customHeight="1" x14ac:dyDescent="0.45">
      <c r="A563" s="163" t="s">
        <v>608</v>
      </c>
      <c r="B563" s="166">
        <v>700</v>
      </c>
      <c r="C563" s="240">
        <v>90</v>
      </c>
      <c r="D563" s="241">
        <f t="shared" si="11"/>
        <v>63000</v>
      </c>
    </row>
    <row r="566" spans="1:10" s="174" customFormat="1" ht="30" customHeight="1" thickBot="1" x14ac:dyDescent="0.5">
      <c r="A566" s="160" t="s">
        <v>616</v>
      </c>
      <c r="B566" s="201"/>
      <c r="C566" s="296"/>
      <c r="D566" s="296"/>
      <c r="E566" s="296"/>
      <c r="I566" s="201"/>
      <c r="J566" s="201"/>
    </row>
    <row r="567" spans="1:10" ht="30" customHeight="1" thickTop="1" x14ac:dyDescent="0.45">
      <c r="A567" s="163" t="s">
        <v>639</v>
      </c>
      <c r="B567" s="166">
        <v>1</v>
      </c>
      <c r="C567" s="240">
        <v>470</v>
      </c>
      <c r="D567" s="241">
        <f>C567*B567</f>
        <v>470</v>
      </c>
    </row>
    <row r="568" spans="1:10" ht="30" customHeight="1" x14ac:dyDescent="0.45">
      <c r="A568" s="163" t="s">
        <v>638</v>
      </c>
      <c r="B568" s="166">
        <v>1</v>
      </c>
      <c r="C568" s="240">
        <v>430</v>
      </c>
      <c r="D568" s="241">
        <f t="shared" ref="D568:D570" si="12">C568*B568</f>
        <v>430</v>
      </c>
    </row>
    <row r="569" spans="1:10" ht="30" customHeight="1" x14ac:dyDescent="0.45">
      <c r="A569" s="307" t="s">
        <v>640</v>
      </c>
      <c r="B569" s="308">
        <v>1</v>
      </c>
      <c r="C569" s="309">
        <v>930</v>
      </c>
      <c r="D569" s="241">
        <f t="shared" si="12"/>
        <v>930</v>
      </c>
    </row>
    <row r="570" spans="1:10" ht="30" customHeight="1" x14ac:dyDescent="0.45">
      <c r="A570" s="163" t="s">
        <v>617</v>
      </c>
      <c r="B570" s="166">
        <v>9</v>
      </c>
      <c r="C570" s="240">
        <v>2455</v>
      </c>
      <c r="D570" s="241">
        <f t="shared" si="12"/>
        <v>22095</v>
      </c>
    </row>
    <row r="571" spans="1:10" ht="30" customHeight="1" x14ac:dyDescent="0.45">
      <c r="A571" s="163" t="s">
        <v>637</v>
      </c>
      <c r="B571" s="166">
        <v>1</v>
      </c>
      <c r="C571" s="240">
        <v>7350</v>
      </c>
      <c r="D571" s="241">
        <f>C571*B571</f>
        <v>7350</v>
      </c>
    </row>
    <row r="572" spans="1:10" ht="30" customHeight="1" x14ac:dyDescent="0.45">
      <c r="A572" s="163" t="s">
        <v>618</v>
      </c>
      <c r="B572" s="166">
        <v>1</v>
      </c>
      <c r="C572" s="240">
        <v>6350</v>
      </c>
      <c r="D572" s="241">
        <f>C572*B572</f>
        <v>6350</v>
      </c>
    </row>
    <row r="573" spans="1:10" ht="30" customHeight="1" x14ac:dyDescent="0.45">
      <c r="D573" s="241">
        <f>SUM(D567:D572)</f>
        <v>37625</v>
      </c>
    </row>
    <row r="574" spans="1:10" s="174" customFormat="1" ht="30" customHeight="1" thickBot="1" x14ac:dyDescent="0.5">
      <c r="A574" s="160" t="s">
        <v>621</v>
      </c>
      <c r="B574" s="201"/>
      <c r="C574" s="296"/>
      <c r="D574" s="296"/>
      <c r="E574" s="296"/>
      <c r="I574" s="201"/>
      <c r="J574" s="201"/>
    </row>
    <row r="575" spans="1:10" ht="30" customHeight="1" thickTop="1" x14ac:dyDescent="0.45">
      <c r="D575" s="241">
        <f>C575*B575</f>
        <v>0</v>
      </c>
    </row>
    <row r="576" spans="1:10" ht="30" customHeight="1" x14ac:dyDescent="0.45">
      <c r="A576" s="163" t="s">
        <v>622</v>
      </c>
      <c r="B576" s="166">
        <v>2</v>
      </c>
      <c r="C576" s="240">
        <v>3190</v>
      </c>
      <c r="D576" s="241">
        <f>C576*B576</f>
        <v>6380</v>
      </c>
    </row>
    <row r="577" spans="1:10" ht="30" customHeight="1" x14ac:dyDescent="0.45">
      <c r="A577" s="163" t="s">
        <v>620</v>
      </c>
      <c r="B577" s="166">
        <v>1</v>
      </c>
      <c r="C577" s="240">
        <v>4950</v>
      </c>
      <c r="D577" s="241">
        <f>C577*B577</f>
        <v>4950</v>
      </c>
    </row>
    <row r="578" spans="1:10" ht="30" customHeight="1" x14ac:dyDescent="0.45">
      <c r="A578" s="163" t="s">
        <v>557</v>
      </c>
      <c r="B578" s="166">
        <v>208</v>
      </c>
      <c r="C578" s="240">
        <v>4.5</v>
      </c>
      <c r="D578" s="241">
        <f>C578*B578</f>
        <v>936</v>
      </c>
    </row>
    <row r="579" spans="1:10" ht="30" customHeight="1" x14ac:dyDescent="0.45">
      <c r="A579" s="163" t="s">
        <v>623</v>
      </c>
      <c r="B579" s="166">
        <v>5</v>
      </c>
      <c r="C579" s="240">
        <v>995</v>
      </c>
      <c r="D579" s="241">
        <f>C579*B579</f>
        <v>4975</v>
      </c>
    </row>
    <row r="580" spans="1:10" ht="30" customHeight="1" x14ac:dyDescent="0.45">
      <c r="A580" s="163" t="s">
        <v>625</v>
      </c>
      <c r="B580" s="166">
        <v>250</v>
      </c>
      <c r="C580" s="240">
        <v>5</v>
      </c>
      <c r="D580" s="241">
        <v>125</v>
      </c>
    </row>
    <row r="582" spans="1:10" s="153" customFormat="1" ht="30" customHeight="1" thickBot="1" x14ac:dyDescent="0.4">
      <c r="A582" s="48" t="s">
        <v>634</v>
      </c>
      <c r="B582" s="305"/>
      <c r="C582" s="306"/>
      <c r="D582" s="306"/>
      <c r="E582" s="306"/>
      <c r="I582" s="305"/>
      <c r="J582" s="305"/>
    </row>
    <row r="583" spans="1:10" ht="30" customHeight="1" thickTop="1" x14ac:dyDescent="0.45">
      <c r="A583" s="163" t="s">
        <v>635</v>
      </c>
      <c r="B583" s="166">
        <v>105</v>
      </c>
      <c r="C583" s="240">
        <v>36</v>
      </c>
      <c r="D583" s="241">
        <v>378</v>
      </c>
    </row>
    <row r="584" spans="1:10" ht="30" customHeight="1" x14ac:dyDescent="0.45">
      <c r="A584" s="163" t="s">
        <v>636</v>
      </c>
      <c r="B584" s="166">
        <v>105</v>
      </c>
      <c r="C584" s="240">
        <v>17.5</v>
      </c>
      <c r="D584" s="241">
        <v>183</v>
      </c>
    </row>
    <row r="586" spans="1:10" s="153" customFormat="1" ht="30" customHeight="1" thickBot="1" x14ac:dyDescent="0.4">
      <c r="A586" s="48" t="s">
        <v>641</v>
      </c>
      <c r="B586" s="305"/>
      <c r="C586" s="306"/>
      <c r="D586" s="306"/>
      <c r="E586" s="306"/>
      <c r="I586" s="305"/>
      <c r="J586" s="305"/>
    </row>
    <row r="587" spans="1:10" ht="30" customHeight="1" thickTop="1" x14ac:dyDescent="0.45">
      <c r="A587" s="163" t="s">
        <v>633</v>
      </c>
      <c r="B587" s="166">
        <v>160</v>
      </c>
      <c r="C587" s="240">
        <v>40</v>
      </c>
      <c r="D587" s="300">
        <v>6400</v>
      </c>
    </row>
    <row r="588" spans="1:10" ht="30" customHeight="1" x14ac:dyDescent="0.45">
      <c r="A588" s="163" t="s">
        <v>642</v>
      </c>
      <c r="B588" s="166">
        <v>160</v>
      </c>
      <c r="C588" s="240">
        <v>150</v>
      </c>
      <c r="D588" s="300">
        <v>24000</v>
      </c>
    </row>
    <row r="590" spans="1:10" s="153" customFormat="1" ht="30" customHeight="1" thickBot="1" x14ac:dyDescent="0.4">
      <c r="A590" s="48" t="s">
        <v>643</v>
      </c>
      <c r="B590" s="305"/>
      <c r="C590" s="306"/>
      <c r="D590" s="306"/>
      <c r="E590" s="306"/>
      <c r="I590" s="305"/>
      <c r="J590" s="305"/>
    </row>
    <row r="591" spans="1:10" ht="30" customHeight="1" thickTop="1" x14ac:dyDescent="0.45">
      <c r="A591" s="163" t="s">
        <v>644</v>
      </c>
      <c r="B591" s="166">
        <v>90</v>
      </c>
      <c r="C591" s="240">
        <v>635</v>
      </c>
      <c r="D591" s="241">
        <f>PRODUCT(B591:C591)</f>
        <v>57150</v>
      </c>
    </row>
    <row r="592" spans="1:10" ht="30" customHeight="1" x14ac:dyDescent="0.45">
      <c r="A592" s="163" t="s">
        <v>645</v>
      </c>
      <c r="B592" s="166">
        <v>19</v>
      </c>
      <c r="C592" s="240">
        <v>950</v>
      </c>
      <c r="D592" s="241">
        <f>PRODUCT(B592:C592)</f>
        <v>18050</v>
      </c>
    </row>
    <row r="593" spans="1:4" ht="30" customHeight="1" x14ac:dyDescent="0.45">
      <c r="D593" s="241">
        <f>SUM(D591:D592)</f>
        <v>75200</v>
      </c>
    </row>
    <row r="600" spans="1:4" ht="30" customHeight="1" x14ac:dyDescent="0.45">
      <c r="A600" s="163" t="s">
        <v>646</v>
      </c>
      <c r="B600" s="166">
        <v>12</v>
      </c>
      <c r="C600" s="240">
        <v>16</v>
      </c>
      <c r="D600" s="241">
        <v>192</v>
      </c>
    </row>
    <row r="601" spans="1:4" ht="30" customHeight="1" x14ac:dyDescent="0.45">
      <c r="A601" s="163" t="s">
        <v>647</v>
      </c>
      <c r="B601" s="166">
        <v>100</v>
      </c>
      <c r="C601" s="240">
        <v>17</v>
      </c>
      <c r="D601" s="241">
        <v>170</v>
      </c>
    </row>
    <row r="602" spans="1:4" ht="30" customHeight="1" x14ac:dyDescent="0.45">
      <c r="A602" s="163" t="s">
        <v>648</v>
      </c>
      <c r="B602" s="166">
        <v>1</v>
      </c>
      <c r="C602" s="240">
        <v>800</v>
      </c>
      <c r="D602" s="241">
        <v>800</v>
      </c>
    </row>
    <row r="607" spans="1:4" ht="30" customHeight="1" x14ac:dyDescent="0.45">
      <c r="A607" s="163" t="s">
        <v>649</v>
      </c>
      <c r="B607" s="166">
        <v>300</v>
      </c>
      <c r="C607" s="240">
        <v>10</v>
      </c>
      <c r="D607" s="300">
        <v>2850</v>
      </c>
    </row>
    <row r="608" spans="1:4" ht="30" customHeight="1" x14ac:dyDescent="0.45">
      <c r="A608" s="163" t="s">
        <v>650</v>
      </c>
      <c r="B608" s="166">
        <v>1</v>
      </c>
      <c r="C608" s="299">
        <v>16800</v>
      </c>
      <c r="D608" s="300">
        <v>16800</v>
      </c>
    </row>
    <row r="611" spans="1:10" s="174" customFormat="1" ht="30" customHeight="1" thickBot="1" x14ac:dyDescent="0.5">
      <c r="A611" s="160" t="s">
        <v>588</v>
      </c>
      <c r="B611" s="201"/>
      <c r="C611" s="296"/>
      <c r="D611" s="296"/>
      <c r="E611" s="296"/>
      <c r="I611" s="201"/>
      <c r="J611" s="201"/>
    </row>
    <row r="612" spans="1:10" ht="30" customHeight="1" thickTop="1" x14ac:dyDescent="0.45"/>
    <row r="613" spans="1:10" ht="30" customHeight="1" x14ac:dyDescent="0.45">
      <c r="A613" s="163" t="s">
        <v>592</v>
      </c>
      <c r="B613" s="166">
        <v>30</v>
      </c>
      <c r="C613" s="240">
        <v>450</v>
      </c>
    </row>
    <row r="614" spans="1:10" ht="30" customHeight="1" x14ac:dyDescent="0.45">
      <c r="A614" s="163" t="s">
        <v>628</v>
      </c>
      <c r="B614" s="166">
        <v>60</v>
      </c>
      <c r="C614" s="240">
        <v>15</v>
      </c>
    </row>
    <row r="615" spans="1:10" ht="30" customHeight="1" x14ac:dyDescent="0.45">
      <c r="A615" s="163" t="s">
        <v>593</v>
      </c>
      <c r="B615" s="166">
        <v>2</v>
      </c>
      <c r="C615" s="304">
        <v>1</v>
      </c>
    </row>
    <row r="616" spans="1:10" ht="30" customHeight="1" x14ac:dyDescent="0.45">
      <c r="A616" s="163" t="s">
        <v>626</v>
      </c>
      <c r="B616" s="166">
        <v>11</v>
      </c>
      <c r="C616" s="304"/>
    </row>
    <row r="617" spans="1:10" ht="30" customHeight="1" x14ac:dyDescent="0.45">
      <c r="A617" s="163" t="s">
        <v>629</v>
      </c>
      <c r="B617" s="166">
        <v>20</v>
      </c>
      <c r="C617" s="240">
        <v>550</v>
      </c>
    </row>
    <row r="618" spans="1:10" ht="30" customHeight="1" x14ac:dyDescent="0.45">
      <c r="A618" s="163" t="s">
        <v>627</v>
      </c>
      <c r="B618" s="166">
        <v>20</v>
      </c>
      <c r="C618" s="240">
        <v>150</v>
      </c>
    </row>
    <row r="619" spans="1:10" ht="30" customHeight="1" x14ac:dyDescent="0.45">
      <c r="A619" s="163" t="s">
        <v>632</v>
      </c>
      <c r="B619" s="166">
        <v>8</v>
      </c>
      <c r="C619" s="240">
        <v>60</v>
      </c>
    </row>
    <row r="620" spans="1:10" ht="30" customHeight="1" x14ac:dyDescent="0.45">
      <c r="A620" s="163" t="s">
        <v>633</v>
      </c>
      <c r="B620" s="166">
        <v>12</v>
      </c>
      <c r="C620" s="240">
        <v>40</v>
      </c>
    </row>
    <row r="621" spans="1:10" ht="30" customHeight="1" x14ac:dyDescent="0.45">
      <c r="A621" s="163" t="s">
        <v>631</v>
      </c>
      <c r="B621" s="166">
        <v>10</v>
      </c>
      <c r="C621" s="304">
        <v>1</v>
      </c>
    </row>
    <row r="622" spans="1:10" ht="30" customHeight="1" x14ac:dyDescent="0.45">
      <c r="A622" s="163" t="s">
        <v>630</v>
      </c>
      <c r="B622" s="166">
        <v>10</v>
      </c>
      <c r="C622" s="240">
        <v>315</v>
      </c>
    </row>
    <row r="623" spans="1:10" ht="30" customHeight="1" x14ac:dyDescent="0.45">
      <c r="A623" s="163" t="s">
        <v>594</v>
      </c>
      <c r="B623" s="166">
        <v>30</v>
      </c>
      <c r="C623" s="240">
        <v>85</v>
      </c>
    </row>
    <row r="624" spans="1:10" ht="30" customHeight="1" x14ac:dyDescent="0.45">
      <c r="A624" s="163" t="s">
        <v>595</v>
      </c>
      <c r="B624" s="166">
        <v>32</v>
      </c>
      <c r="C624" s="240">
        <v>195</v>
      </c>
    </row>
    <row r="625" spans="1:3" ht="30" customHeight="1" x14ac:dyDescent="0.45">
      <c r="A625" s="163" t="s">
        <v>590</v>
      </c>
      <c r="B625" s="166">
        <v>30</v>
      </c>
      <c r="C625" s="240">
        <v>270</v>
      </c>
    </row>
    <row r="626" spans="1:3" ht="30" customHeight="1" x14ac:dyDescent="0.45">
      <c r="A626" s="163" t="s">
        <v>591</v>
      </c>
      <c r="B626" s="166">
        <v>10</v>
      </c>
      <c r="C626" s="240">
        <v>395</v>
      </c>
    </row>
    <row r="630" spans="1:3" ht="30" customHeight="1" x14ac:dyDescent="0.45">
      <c r="A630" s="163" t="s">
        <v>651</v>
      </c>
      <c r="B630" s="166">
        <v>10</v>
      </c>
      <c r="C630" s="240">
        <v>0</v>
      </c>
    </row>
    <row r="631" spans="1:3" ht="30" customHeight="1" x14ac:dyDescent="0.45">
      <c r="A631" s="163" t="s">
        <v>652</v>
      </c>
      <c r="B631" s="166">
        <v>10</v>
      </c>
      <c r="C631" s="240">
        <v>0</v>
      </c>
    </row>
    <row r="632" spans="1:3" ht="30" customHeight="1" x14ac:dyDescent="0.45">
      <c r="A632" s="163" t="s">
        <v>653</v>
      </c>
      <c r="B632" s="166">
        <v>9</v>
      </c>
      <c r="C632" s="240">
        <v>0</v>
      </c>
    </row>
    <row r="633" spans="1:3" ht="30" customHeight="1" x14ac:dyDescent="0.45">
      <c r="A633" s="163" t="s">
        <v>654</v>
      </c>
      <c r="B633" s="166">
        <v>10</v>
      </c>
      <c r="C633" s="240">
        <v>0</v>
      </c>
    </row>
    <row r="634" spans="1:3" ht="30" customHeight="1" x14ac:dyDescent="0.45">
      <c r="A634" s="163" t="s">
        <v>655</v>
      </c>
      <c r="B634" s="166">
        <v>20</v>
      </c>
      <c r="C634" s="240">
        <v>0</v>
      </c>
    </row>
    <row r="635" spans="1:3" ht="30" customHeight="1" x14ac:dyDescent="0.45">
      <c r="A635" s="163" t="s">
        <v>656</v>
      </c>
      <c r="B635" s="166">
        <v>30</v>
      </c>
      <c r="C635" s="240">
        <v>0</v>
      </c>
    </row>
    <row r="636" spans="1:3" ht="30" customHeight="1" x14ac:dyDescent="0.45">
      <c r="A636" s="163" t="s">
        <v>657</v>
      </c>
      <c r="B636" s="166">
        <v>20</v>
      </c>
      <c r="C636" s="240">
        <v>0</v>
      </c>
    </row>
    <row r="637" spans="1:3" ht="30" customHeight="1" x14ac:dyDescent="0.45">
      <c r="A637" s="163" t="s">
        <v>658</v>
      </c>
      <c r="B637" s="166">
        <v>20</v>
      </c>
      <c r="C637" s="240">
        <v>0</v>
      </c>
    </row>
    <row r="639" spans="1:3" ht="30" customHeight="1" x14ac:dyDescent="0.45">
      <c r="A639" s="163" t="s">
        <v>659</v>
      </c>
      <c r="B639" s="166">
        <v>4</v>
      </c>
      <c r="C639" s="240">
        <v>0</v>
      </c>
    </row>
    <row r="640" spans="1:3" ht="30" customHeight="1" x14ac:dyDescent="0.45">
      <c r="A640" s="163" t="s">
        <v>660</v>
      </c>
      <c r="B640" s="166">
        <v>10</v>
      </c>
      <c r="C640" s="240">
        <v>0</v>
      </c>
    </row>
    <row r="1048554" spans="4:4" ht="30" customHeight="1" x14ac:dyDescent="0.45">
      <c r="D1048554" s="241">
        <f>SUM(D575:D1048553)</f>
        <v>219539</v>
      </c>
    </row>
  </sheetData>
  <mergeCells count="3">
    <mergeCell ref="I262:I263"/>
    <mergeCell ref="J262:J263"/>
    <mergeCell ref="H214:H221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62" r:id="rId4" name="Control 38">
          <controlPr defaultSize="0" r:id="rId5">
            <anchor moveWithCells="1">
              <from>
                <xdr:col>2</xdr:col>
                <xdr:colOff>1143000</xdr:colOff>
                <xdr:row>519</xdr:row>
                <xdr:rowOff>0</xdr:rowOff>
              </from>
              <to>
                <xdr:col>3</xdr:col>
                <xdr:colOff>104775</xdr:colOff>
                <xdr:row>519</xdr:row>
                <xdr:rowOff>219075</xdr:rowOff>
              </to>
            </anchor>
          </controlPr>
        </control>
      </mc:Choice>
      <mc:Fallback>
        <control shapeId="1062" r:id="rId4" name="Control 38"/>
      </mc:Fallback>
    </mc:AlternateContent>
    <mc:AlternateContent xmlns:mc="http://schemas.openxmlformats.org/markup-compatibility/2006">
      <mc:Choice Requires="x14">
        <control shapeId="1061" r:id="rId6" name="Control 37">
          <controlPr defaultSize="0" r:id="rId5">
            <anchor moveWithCells="1">
              <from>
                <xdr:col>2</xdr:col>
                <xdr:colOff>0</xdr:colOff>
                <xdr:row>519</xdr:row>
                <xdr:rowOff>0</xdr:rowOff>
              </from>
              <to>
                <xdr:col>2</xdr:col>
                <xdr:colOff>133350</xdr:colOff>
                <xdr:row>519</xdr:row>
                <xdr:rowOff>219075</xdr:rowOff>
              </to>
            </anchor>
          </controlPr>
        </control>
      </mc:Choice>
      <mc:Fallback>
        <control shapeId="1061" r:id="rId6" name="Control 37"/>
      </mc:Fallback>
    </mc:AlternateContent>
    <mc:AlternateContent xmlns:mc="http://schemas.openxmlformats.org/markup-compatibility/2006">
      <mc:Choice Requires="x14">
        <control shapeId="1060" r:id="rId7" name="Control 36">
          <controlPr defaultSize="0" r:id="rId8">
            <anchor moveWithCells="1">
              <from>
                <xdr:col>2</xdr:col>
                <xdr:colOff>1143000</xdr:colOff>
                <xdr:row>519</xdr:row>
                <xdr:rowOff>0</xdr:rowOff>
              </from>
              <to>
                <xdr:col>3</xdr:col>
                <xdr:colOff>104775</xdr:colOff>
                <xdr:row>519</xdr:row>
                <xdr:rowOff>219075</xdr:rowOff>
              </to>
            </anchor>
          </controlPr>
        </control>
      </mc:Choice>
      <mc:Fallback>
        <control shapeId="1060" r:id="rId7" name="Control 36"/>
      </mc:Fallback>
    </mc:AlternateContent>
    <mc:AlternateContent xmlns:mc="http://schemas.openxmlformats.org/markup-compatibility/2006">
      <mc:Choice Requires="x14">
        <control shapeId="1059" r:id="rId9" name="Control 35">
          <controlPr defaultSize="0" r:id="rId8">
            <anchor moveWithCells="1">
              <from>
                <xdr:col>2</xdr:col>
                <xdr:colOff>0</xdr:colOff>
                <xdr:row>519</xdr:row>
                <xdr:rowOff>0</xdr:rowOff>
              </from>
              <to>
                <xdr:col>2</xdr:col>
                <xdr:colOff>133350</xdr:colOff>
                <xdr:row>519</xdr:row>
                <xdr:rowOff>219075</xdr:rowOff>
              </to>
            </anchor>
          </controlPr>
        </control>
      </mc:Choice>
      <mc:Fallback>
        <control shapeId="1059" r:id="rId9" name="Control 35"/>
      </mc:Fallback>
    </mc:AlternateContent>
    <mc:AlternateContent xmlns:mc="http://schemas.openxmlformats.org/markup-compatibility/2006">
      <mc:Choice Requires="x14">
        <control shapeId="1058" r:id="rId10" name="Control 34">
          <controlPr defaultSize="0" r:id="rId8">
            <anchor moveWithCells="1">
              <from>
                <xdr:col>2</xdr:col>
                <xdr:colOff>1143000</xdr:colOff>
                <xdr:row>519</xdr:row>
                <xdr:rowOff>0</xdr:rowOff>
              </from>
              <to>
                <xdr:col>3</xdr:col>
                <xdr:colOff>104775</xdr:colOff>
                <xdr:row>519</xdr:row>
                <xdr:rowOff>219075</xdr:rowOff>
              </to>
            </anchor>
          </controlPr>
        </control>
      </mc:Choice>
      <mc:Fallback>
        <control shapeId="1058" r:id="rId10" name="Control 34"/>
      </mc:Fallback>
    </mc:AlternateContent>
    <mc:AlternateContent xmlns:mc="http://schemas.openxmlformats.org/markup-compatibility/2006">
      <mc:Choice Requires="x14">
        <control shapeId="1057" r:id="rId11" name="Control 33">
          <controlPr defaultSize="0" r:id="rId8">
            <anchor moveWithCells="1">
              <from>
                <xdr:col>2</xdr:col>
                <xdr:colOff>0</xdr:colOff>
                <xdr:row>519</xdr:row>
                <xdr:rowOff>0</xdr:rowOff>
              </from>
              <to>
                <xdr:col>2</xdr:col>
                <xdr:colOff>133350</xdr:colOff>
                <xdr:row>519</xdr:row>
                <xdr:rowOff>219075</xdr:rowOff>
              </to>
            </anchor>
          </controlPr>
        </control>
      </mc:Choice>
      <mc:Fallback>
        <control shapeId="1057" r:id="rId11" name="Control 33"/>
      </mc:Fallback>
    </mc:AlternateContent>
    <mc:AlternateContent xmlns:mc="http://schemas.openxmlformats.org/markup-compatibility/2006">
      <mc:Choice Requires="x14">
        <control shapeId="1056" r:id="rId12" name="Control 32">
          <controlPr defaultSize="0" r:id="rId8">
            <anchor moveWithCells="1">
              <from>
                <xdr:col>2</xdr:col>
                <xdr:colOff>1143000</xdr:colOff>
                <xdr:row>519</xdr:row>
                <xdr:rowOff>0</xdr:rowOff>
              </from>
              <to>
                <xdr:col>3</xdr:col>
                <xdr:colOff>104775</xdr:colOff>
                <xdr:row>519</xdr:row>
                <xdr:rowOff>219075</xdr:rowOff>
              </to>
            </anchor>
          </controlPr>
        </control>
      </mc:Choice>
      <mc:Fallback>
        <control shapeId="1056" r:id="rId12" name="Control 32"/>
      </mc:Fallback>
    </mc:AlternateContent>
    <mc:AlternateContent xmlns:mc="http://schemas.openxmlformats.org/markup-compatibility/2006">
      <mc:Choice Requires="x14">
        <control shapeId="1055" r:id="rId13" name="Control 31">
          <controlPr defaultSize="0" r:id="rId8">
            <anchor moveWithCells="1">
              <from>
                <xdr:col>2</xdr:col>
                <xdr:colOff>0</xdr:colOff>
                <xdr:row>519</xdr:row>
                <xdr:rowOff>0</xdr:rowOff>
              </from>
              <to>
                <xdr:col>2</xdr:col>
                <xdr:colOff>133350</xdr:colOff>
                <xdr:row>519</xdr:row>
                <xdr:rowOff>219075</xdr:rowOff>
              </to>
            </anchor>
          </controlPr>
        </control>
      </mc:Choice>
      <mc:Fallback>
        <control shapeId="1055" r:id="rId13" name="Control 31"/>
      </mc:Fallback>
    </mc:AlternateContent>
    <mc:AlternateContent xmlns:mc="http://schemas.openxmlformats.org/markup-compatibility/2006">
      <mc:Choice Requires="x14">
        <control shapeId="1054" r:id="rId14" name="Control 30">
          <controlPr defaultSize="0" r:id="rId8">
            <anchor moveWithCells="1">
              <from>
                <xdr:col>2</xdr:col>
                <xdr:colOff>1143000</xdr:colOff>
                <xdr:row>519</xdr:row>
                <xdr:rowOff>0</xdr:rowOff>
              </from>
              <to>
                <xdr:col>3</xdr:col>
                <xdr:colOff>104775</xdr:colOff>
                <xdr:row>519</xdr:row>
                <xdr:rowOff>219075</xdr:rowOff>
              </to>
            </anchor>
          </controlPr>
        </control>
      </mc:Choice>
      <mc:Fallback>
        <control shapeId="1054" r:id="rId14" name="Control 30"/>
      </mc:Fallback>
    </mc:AlternateContent>
    <mc:AlternateContent xmlns:mc="http://schemas.openxmlformats.org/markup-compatibility/2006">
      <mc:Choice Requires="x14">
        <control shapeId="1053" r:id="rId15" name="Control 29">
          <controlPr defaultSize="0" r:id="rId8">
            <anchor moveWithCells="1">
              <from>
                <xdr:col>2</xdr:col>
                <xdr:colOff>0</xdr:colOff>
                <xdr:row>519</xdr:row>
                <xdr:rowOff>0</xdr:rowOff>
              </from>
              <to>
                <xdr:col>2</xdr:col>
                <xdr:colOff>133350</xdr:colOff>
                <xdr:row>519</xdr:row>
                <xdr:rowOff>219075</xdr:rowOff>
              </to>
            </anchor>
          </controlPr>
        </control>
      </mc:Choice>
      <mc:Fallback>
        <control shapeId="1053" r:id="rId15" name="Control 29"/>
      </mc:Fallback>
    </mc:AlternateContent>
    <mc:AlternateContent xmlns:mc="http://schemas.openxmlformats.org/markup-compatibility/2006">
      <mc:Choice Requires="x14">
        <control shapeId="1052" r:id="rId16" name="Control 28">
          <controlPr defaultSize="0" r:id="rId8">
            <anchor moveWithCells="1">
              <from>
                <xdr:col>2</xdr:col>
                <xdr:colOff>1143000</xdr:colOff>
                <xdr:row>519</xdr:row>
                <xdr:rowOff>0</xdr:rowOff>
              </from>
              <to>
                <xdr:col>3</xdr:col>
                <xdr:colOff>104775</xdr:colOff>
                <xdr:row>519</xdr:row>
                <xdr:rowOff>219075</xdr:rowOff>
              </to>
            </anchor>
          </controlPr>
        </control>
      </mc:Choice>
      <mc:Fallback>
        <control shapeId="1052" r:id="rId16" name="Control 28"/>
      </mc:Fallback>
    </mc:AlternateContent>
    <mc:AlternateContent xmlns:mc="http://schemas.openxmlformats.org/markup-compatibility/2006">
      <mc:Choice Requires="x14">
        <control shapeId="1051" r:id="rId17" name="Control 27">
          <controlPr defaultSize="0" r:id="rId8">
            <anchor moveWithCells="1">
              <from>
                <xdr:col>2</xdr:col>
                <xdr:colOff>0</xdr:colOff>
                <xdr:row>519</xdr:row>
                <xdr:rowOff>0</xdr:rowOff>
              </from>
              <to>
                <xdr:col>2</xdr:col>
                <xdr:colOff>133350</xdr:colOff>
                <xdr:row>519</xdr:row>
                <xdr:rowOff>219075</xdr:rowOff>
              </to>
            </anchor>
          </controlPr>
        </control>
      </mc:Choice>
      <mc:Fallback>
        <control shapeId="1051" r:id="rId17" name="Control 27"/>
      </mc:Fallback>
    </mc:AlternateContent>
    <mc:AlternateContent xmlns:mc="http://schemas.openxmlformats.org/markup-compatibility/2006">
      <mc:Choice Requires="x14">
        <control shapeId="1050" r:id="rId18" name="Control 26">
          <controlPr defaultSize="0" r:id="rId8">
            <anchor moveWithCells="1">
              <from>
                <xdr:col>2</xdr:col>
                <xdr:colOff>1143000</xdr:colOff>
                <xdr:row>519</xdr:row>
                <xdr:rowOff>0</xdr:rowOff>
              </from>
              <to>
                <xdr:col>3</xdr:col>
                <xdr:colOff>104775</xdr:colOff>
                <xdr:row>519</xdr:row>
                <xdr:rowOff>219075</xdr:rowOff>
              </to>
            </anchor>
          </controlPr>
        </control>
      </mc:Choice>
      <mc:Fallback>
        <control shapeId="1050" r:id="rId18" name="Control 26"/>
      </mc:Fallback>
    </mc:AlternateContent>
    <mc:AlternateContent xmlns:mc="http://schemas.openxmlformats.org/markup-compatibility/2006">
      <mc:Choice Requires="x14">
        <control shapeId="1049" r:id="rId19" name="Control 25">
          <controlPr defaultSize="0" r:id="rId8">
            <anchor moveWithCells="1">
              <from>
                <xdr:col>2</xdr:col>
                <xdr:colOff>0</xdr:colOff>
                <xdr:row>519</xdr:row>
                <xdr:rowOff>0</xdr:rowOff>
              </from>
              <to>
                <xdr:col>2</xdr:col>
                <xdr:colOff>133350</xdr:colOff>
                <xdr:row>519</xdr:row>
                <xdr:rowOff>219075</xdr:rowOff>
              </to>
            </anchor>
          </controlPr>
        </control>
      </mc:Choice>
      <mc:Fallback>
        <control shapeId="1049" r:id="rId19" name="Control 25"/>
      </mc:Fallback>
    </mc:AlternateContent>
    <mc:AlternateContent xmlns:mc="http://schemas.openxmlformats.org/markup-compatibility/2006">
      <mc:Choice Requires="x14">
        <control shapeId="1048" r:id="rId20" name="Control 24">
          <controlPr defaultSize="0" r:id="rId8">
            <anchor moveWithCells="1">
              <from>
                <xdr:col>2</xdr:col>
                <xdr:colOff>1143000</xdr:colOff>
                <xdr:row>519</xdr:row>
                <xdr:rowOff>0</xdr:rowOff>
              </from>
              <to>
                <xdr:col>3</xdr:col>
                <xdr:colOff>104775</xdr:colOff>
                <xdr:row>519</xdr:row>
                <xdr:rowOff>219075</xdr:rowOff>
              </to>
            </anchor>
          </controlPr>
        </control>
      </mc:Choice>
      <mc:Fallback>
        <control shapeId="1048" r:id="rId20" name="Control 24"/>
      </mc:Fallback>
    </mc:AlternateContent>
    <mc:AlternateContent xmlns:mc="http://schemas.openxmlformats.org/markup-compatibility/2006">
      <mc:Choice Requires="x14">
        <control shapeId="1047" r:id="rId21" name="Control 23">
          <controlPr defaultSize="0" r:id="rId8">
            <anchor moveWithCells="1">
              <from>
                <xdr:col>2</xdr:col>
                <xdr:colOff>0</xdr:colOff>
                <xdr:row>519</xdr:row>
                <xdr:rowOff>0</xdr:rowOff>
              </from>
              <to>
                <xdr:col>2</xdr:col>
                <xdr:colOff>133350</xdr:colOff>
                <xdr:row>519</xdr:row>
                <xdr:rowOff>219075</xdr:rowOff>
              </to>
            </anchor>
          </controlPr>
        </control>
      </mc:Choice>
      <mc:Fallback>
        <control shapeId="1047" r:id="rId21" name="Control 23"/>
      </mc:Fallback>
    </mc:AlternateContent>
    <mc:AlternateContent xmlns:mc="http://schemas.openxmlformats.org/markup-compatibility/2006">
      <mc:Choice Requires="x14">
        <control shapeId="1046" r:id="rId22" name="Control 22">
          <controlPr defaultSize="0" r:id="rId8">
            <anchor moveWithCells="1">
              <from>
                <xdr:col>2</xdr:col>
                <xdr:colOff>1143000</xdr:colOff>
                <xdr:row>519</xdr:row>
                <xdr:rowOff>0</xdr:rowOff>
              </from>
              <to>
                <xdr:col>3</xdr:col>
                <xdr:colOff>104775</xdr:colOff>
                <xdr:row>519</xdr:row>
                <xdr:rowOff>219075</xdr:rowOff>
              </to>
            </anchor>
          </controlPr>
        </control>
      </mc:Choice>
      <mc:Fallback>
        <control shapeId="1046" r:id="rId22" name="Control 22"/>
      </mc:Fallback>
    </mc:AlternateContent>
    <mc:AlternateContent xmlns:mc="http://schemas.openxmlformats.org/markup-compatibility/2006">
      <mc:Choice Requires="x14">
        <control shapeId="1045" r:id="rId23" name="Control 21">
          <controlPr defaultSize="0" r:id="rId8">
            <anchor moveWithCells="1">
              <from>
                <xdr:col>2</xdr:col>
                <xdr:colOff>0</xdr:colOff>
                <xdr:row>519</xdr:row>
                <xdr:rowOff>0</xdr:rowOff>
              </from>
              <to>
                <xdr:col>2</xdr:col>
                <xdr:colOff>133350</xdr:colOff>
                <xdr:row>519</xdr:row>
                <xdr:rowOff>219075</xdr:rowOff>
              </to>
            </anchor>
          </controlPr>
        </control>
      </mc:Choice>
      <mc:Fallback>
        <control shapeId="1045" r:id="rId23" name="Control 21"/>
      </mc:Fallback>
    </mc:AlternateContent>
    <mc:AlternateContent xmlns:mc="http://schemas.openxmlformats.org/markup-compatibility/2006">
      <mc:Choice Requires="x14">
        <control shapeId="1044" r:id="rId24" name="Control 20">
          <controlPr defaultSize="0" r:id="rId8">
            <anchor moveWithCells="1">
              <from>
                <xdr:col>2</xdr:col>
                <xdr:colOff>1143000</xdr:colOff>
                <xdr:row>519</xdr:row>
                <xdr:rowOff>0</xdr:rowOff>
              </from>
              <to>
                <xdr:col>3</xdr:col>
                <xdr:colOff>104775</xdr:colOff>
                <xdr:row>519</xdr:row>
                <xdr:rowOff>219075</xdr:rowOff>
              </to>
            </anchor>
          </controlPr>
        </control>
      </mc:Choice>
      <mc:Fallback>
        <control shapeId="1044" r:id="rId24" name="Control 20"/>
      </mc:Fallback>
    </mc:AlternateContent>
    <mc:AlternateContent xmlns:mc="http://schemas.openxmlformats.org/markup-compatibility/2006">
      <mc:Choice Requires="x14">
        <control shapeId="1043" r:id="rId25" name="Control 19">
          <controlPr defaultSize="0" r:id="rId8">
            <anchor moveWithCells="1">
              <from>
                <xdr:col>2</xdr:col>
                <xdr:colOff>0</xdr:colOff>
                <xdr:row>519</xdr:row>
                <xdr:rowOff>0</xdr:rowOff>
              </from>
              <to>
                <xdr:col>2</xdr:col>
                <xdr:colOff>133350</xdr:colOff>
                <xdr:row>519</xdr:row>
                <xdr:rowOff>219075</xdr:rowOff>
              </to>
            </anchor>
          </controlPr>
        </control>
      </mc:Choice>
      <mc:Fallback>
        <control shapeId="1043" r:id="rId25" name="Control 19"/>
      </mc:Fallback>
    </mc:AlternateContent>
    <mc:AlternateContent xmlns:mc="http://schemas.openxmlformats.org/markup-compatibility/2006">
      <mc:Choice Requires="x14">
        <control shapeId="1042" r:id="rId26" name="Control 18">
          <controlPr defaultSize="0" r:id="rId8">
            <anchor moveWithCells="1">
              <from>
                <xdr:col>2</xdr:col>
                <xdr:colOff>1143000</xdr:colOff>
                <xdr:row>519</xdr:row>
                <xdr:rowOff>0</xdr:rowOff>
              </from>
              <to>
                <xdr:col>3</xdr:col>
                <xdr:colOff>104775</xdr:colOff>
                <xdr:row>519</xdr:row>
                <xdr:rowOff>219075</xdr:rowOff>
              </to>
            </anchor>
          </controlPr>
        </control>
      </mc:Choice>
      <mc:Fallback>
        <control shapeId="1042" r:id="rId26" name="Control 18"/>
      </mc:Fallback>
    </mc:AlternateContent>
    <mc:AlternateContent xmlns:mc="http://schemas.openxmlformats.org/markup-compatibility/2006">
      <mc:Choice Requires="x14">
        <control shapeId="1041" r:id="rId27" name="Control 17">
          <controlPr defaultSize="0" r:id="rId8">
            <anchor moveWithCells="1">
              <from>
                <xdr:col>2</xdr:col>
                <xdr:colOff>0</xdr:colOff>
                <xdr:row>519</xdr:row>
                <xdr:rowOff>0</xdr:rowOff>
              </from>
              <to>
                <xdr:col>2</xdr:col>
                <xdr:colOff>133350</xdr:colOff>
                <xdr:row>519</xdr:row>
                <xdr:rowOff>219075</xdr:rowOff>
              </to>
            </anchor>
          </controlPr>
        </control>
      </mc:Choice>
      <mc:Fallback>
        <control shapeId="1041" r:id="rId27" name="Control 17"/>
      </mc:Fallback>
    </mc:AlternateContent>
    <mc:AlternateContent xmlns:mc="http://schemas.openxmlformats.org/markup-compatibility/2006">
      <mc:Choice Requires="x14">
        <control shapeId="1040" r:id="rId28" name="Control 16">
          <controlPr defaultSize="0" r:id="rId8">
            <anchor moveWithCells="1">
              <from>
                <xdr:col>2</xdr:col>
                <xdr:colOff>1143000</xdr:colOff>
                <xdr:row>519</xdr:row>
                <xdr:rowOff>0</xdr:rowOff>
              </from>
              <to>
                <xdr:col>3</xdr:col>
                <xdr:colOff>104775</xdr:colOff>
                <xdr:row>519</xdr:row>
                <xdr:rowOff>219075</xdr:rowOff>
              </to>
            </anchor>
          </controlPr>
        </control>
      </mc:Choice>
      <mc:Fallback>
        <control shapeId="1040" r:id="rId28" name="Control 16"/>
      </mc:Fallback>
    </mc:AlternateContent>
    <mc:AlternateContent xmlns:mc="http://schemas.openxmlformats.org/markup-compatibility/2006">
      <mc:Choice Requires="x14">
        <control shapeId="1039" r:id="rId29" name="Control 15">
          <controlPr defaultSize="0" r:id="rId8">
            <anchor moveWithCells="1">
              <from>
                <xdr:col>2</xdr:col>
                <xdr:colOff>0</xdr:colOff>
                <xdr:row>519</xdr:row>
                <xdr:rowOff>0</xdr:rowOff>
              </from>
              <to>
                <xdr:col>2</xdr:col>
                <xdr:colOff>133350</xdr:colOff>
                <xdr:row>519</xdr:row>
                <xdr:rowOff>219075</xdr:rowOff>
              </to>
            </anchor>
          </controlPr>
        </control>
      </mc:Choice>
      <mc:Fallback>
        <control shapeId="1039" r:id="rId29" name="Control 15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44B2-C8D0-4DF5-B916-0F420874AC13}">
  <dimension ref="A1:H318"/>
  <sheetViews>
    <sheetView topLeftCell="A21" zoomScale="70" zoomScaleNormal="70" workbookViewId="0">
      <selection activeCell="A41" sqref="A41"/>
    </sheetView>
  </sheetViews>
  <sheetFormatPr defaultRowHeight="15" x14ac:dyDescent="0.25"/>
  <cols>
    <col min="1" max="1" width="35.42578125" style="77" customWidth="1"/>
    <col min="2" max="2" width="9.7109375" customWidth="1"/>
    <col min="3" max="3" width="11.85546875" customWidth="1"/>
    <col min="4" max="4" width="12.5703125" customWidth="1"/>
    <col min="5" max="5" width="16.85546875" style="77" customWidth="1"/>
    <col min="7" max="7" width="14.42578125" customWidth="1"/>
  </cols>
  <sheetData>
    <row r="1" spans="1:8" s="72" customFormat="1" ht="39" customHeight="1" thickBot="1" x14ac:dyDescent="0.3">
      <c r="A1" s="79" t="s">
        <v>0</v>
      </c>
      <c r="B1" s="78" t="s">
        <v>1</v>
      </c>
      <c r="C1" s="73" t="s">
        <v>2</v>
      </c>
      <c r="D1" s="74" t="s">
        <v>3</v>
      </c>
      <c r="E1" s="76" t="s">
        <v>25</v>
      </c>
      <c r="F1" s="75"/>
      <c r="G1" s="72" t="s">
        <v>370</v>
      </c>
    </row>
    <row r="2" spans="1:8" s="1" customFormat="1" ht="27" thickBot="1" x14ac:dyDescent="0.4">
      <c r="A2" s="36" t="s">
        <v>206</v>
      </c>
      <c r="B2" s="58"/>
      <c r="C2" s="59"/>
      <c r="D2" s="59"/>
      <c r="E2" s="121" t="s">
        <v>104</v>
      </c>
      <c r="G2" s="81"/>
      <c r="H2" s="81"/>
    </row>
    <row r="3" spans="1:8" s="5" customFormat="1" ht="27" thickTop="1" x14ac:dyDescent="0.25">
      <c r="A3" s="51" t="s">
        <v>254</v>
      </c>
      <c r="B3" s="60">
        <v>500</v>
      </c>
      <c r="C3" s="61">
        <v>9.5</v>
      </c>
      <c r="D3" s="63">
        <v>4750</v>
      </c>
      <c r="E3" s="121" t="s">
        <v>104</v>
      </c>
      <c r="F3" s="43"/>
      <c r="G3" s="80"/>
      <c r="H3" s="80"/>
    </row>
    <row r="4" spans="1:8" s="42" customFormat="1" ht="26.25" x14ac:dyDescent="0.25">
      <c r="A4" s="49" t="s">
        <v>255</v>
      </c>
      <c r="B4" s="55">
        <v>100</v>
      </c>
      <c r="C4" s="56">
        <v>45</v>
      </c>
      <c r="D4" s="62">
        <v>4500</v>
      </c>
      <c r="E4" s="64"/>
      <c r="F4" s="43"/>
      <c r="G4" s="80"/>
      <c r="H4" s="80"/>
    </row>
    <row r="5" spans="1:8" s="42" customFormat="1" ht="31.5" x14ac:dyDescent="0.25">
      <c r="A5" s="49" t="s">
        <v>256</v>
      </c>
      <c r="B5" s="55">
        <v>57</v>
      </c>
      <c r="C5" s="56">
        <v>23</v>
      </c>
      <c r="D5" s="62">
        <v>1311</v>
      </c>
      <c r="E5" s="64">
        <f>SUM(D3:D4)</f>
        <v>9250</v>
      </c>
      <c r="F5" s="43"/>
      <c r="G5" s="80"/>
      <c r="H5" s="80"/>
    </row>
    <row r="9" spans="1:8" ht="15.75" thickBot="1" x14ac:dyDescent="0.3"/>
    <row r="10" spans="1:8" s="41" customFormat="1" ht="27" thickBot="1" x14ac:dyDescent="0.4">
      <c r="A10" s="48" t="s">
        <v>457</v>
      </c>
      <c r="B10" s="58"/>
      <c r="C10" s="59"/>
      <c r="D10" s="59"/>
      <c r="E10" s="121" t="s">
        <v>104</v>
      </c>
      <c r="G10" s="81"/>
      <c r="H10" s="81"/>
    </row>
    <row r="11" spans="1:8" ht="21" thickTop="1" thickBot="1" x14ac:dyDescent="0.3">
      <c r="A11" s="79" t="s">
        <v>0</v>
      </c>
      <c r="B11" s="78" t="s">
        <v>1</v>
      </c>
      <c r="C11" s="73" t="s">
        <v>2</v>
      </c>
      <c r="D11" s="74" t="s">
        <v>3</v>
      </c>
    </row>
    <row r="12" spans="1:8" ht="15.75" x14ac:dyDescent="0.25">
      <c r="A12" s="49" t="s">
        <v>458</v>
      </c>
      <c r="B12" s="60">
        <v>100</v>
      </c>
      <c r="C12" s="61">
        <v>11</v>
      </c>
      <c r="D12" s="63">
        <f>B12*C12</f>
        <v>1100</v>
      </c>
    </row>
    <row r="13" spans="1:8" ht="15.75" x14ac:dyDescent="0.25">
      <c r="A13" s="49" t="s">
        <v>458</v>
      </c>
      <c r="B13" s="60">
        <v>500</v>
      </c>
      <c r="C13" s="61">
        <v>10.5</v>
      </c>
      <c r="D13" s="63">
        <f>B13*C13</f>
        <v>5250</v>
      </c>
    </row>
    <row r="14" spans="1:8" ht="15.75" x14ac:dyDescent="0.25">
      <c r="A14" s="49" t="s">
        <v>458</v>
      </c>
      <c r="B14" s="60">
        <v>1000</v>
      </c>
      <c r="C14" s="61">
        <v>10</v>
      </c>
      <c r="D14" s="63">
        <f>B14*C14</f>
        <v>10000</v>
      </c>
    </row>
    <row r="15" spans="1:8" ht="15.75" x14ac:dyDescent="0.25">
      <c r="A15" s="49" t="s">
        <v>458</v>
      </c>
      <c r="B15" s="60">
        <v>1500</v>
      </c>
      <c r="C15" s="61">
        <v>9.5</v>
      </c>
      <c r="D15" s="63">
        <f>B15*C15</f>
        <v>14250</v>
      </c>
    </row>
    <row r="16" spans="1:8" ht="15.75" x14ac:dyDescent="0.25">
      <c r="A16" s="49" t="s">
        <v>458</v>
      </c>
      <c r="B16" s="60">
        <v>2000</v>
      </c>
      <c r="C16" s="61">
        <v>9</v>
      </c>
      <c r="D16" s="63">
        <f>B16*C16</f>
        <v>18000</v>
      </c>
    </row>
    <row r="17" spans="1:5" ht="15.75" x14ac:dyDescent="0.25">
      <c r="D17" s="63"/>
    </row>
    <row r="18" spans="1:5" ht="15.75" x14ac:dyDescent="0.25">
      <c r="A18" s="49" t="s">
        <v>459</v>
      </c>
      <c r="B18" s="60">
        <v>100</v>
      </c>
      <c r="C18" s="61">
        <v>12</v>
      </c>
      <c r="D18" s="63">
        <f>B18*C18</f>
        <v>1200</v>
      </c>
    </row>
    <row r="19" spans="1:5" ht="15.75" x14ac:dyDescent="0.25">
      <c r="A19" s="49" t="s">
        <v>459</v>
      </c>
      <c r="B19" s="60">
        <v>500</v>
      </c>
      <c r="C19" s="61">
        <v>11.5</v>
      </c>
      <c r="D19" s="63">
        <f>B19*C19</f>
        <v>5750</v>
      </c>
    </row>
    <row r="20" spans="1:5" ht="15.75" x14ac:dyDescent="0.25">
      <c r="A20" s="49" t="s">
        <v>459</v>
      </c>
      <c r="B20" s="60">
        <v>1000</v>
      </c>
      <c r="C20" s="61">
        <v>11</v>
      </c>
      <c r="D20" s="63">
        <f>B20*C20</f>
        <v>11000</v>
      </c>
    </row>
    <row r="21" spans="1:5" ht="15.75" x14ac:dyDescent="0.25">
      <c r="A21" s="49" t="s">
        <v>459</v>
      </c>
      <c r="B21" s="60">
        <v>1500</v>
      </c>
      <c r="C21" s="61">
        <v>10.5</v>
      </c>
      <c r="D21" s="63">
        <f>B21*C21</f>
        <v>15750</v>
      </c>
    </row>
    <row r="22" spans="1:5" ht="15.75" x14ac:dyDescent="0.25">
      <c r="A22" s="49" t="s">
        <v>459</v>
      </c>
      <c r="B22" s="60">
        <v>2000</v>
      </c>
      <c r="C22" s="61">
        <v>10</v>
      </c>
      <c r="D22" s="63">
        <f>B22*C22</f>
        <v>20000</v>
      </c>
    </row>
    <row r="25" spans="1:5" s="41" customFormat="1" ht="21.75" thickBot="1" x14ac:dyDescent="0.4">
      <c r="A25" s="41" t="s">
        <v>477</v>
      </c>
    </row>
    <row r="26" spans="1:5" ht="32.25" thickTop="1" x14ac:dyDescent="0.25">
      <c r="A26" s="51" t="s">
        <v>476</v>
      </c>
      <c r="B26" s="61">
        <v>1</v>
      </c>
      <c r="C26" s="61">
        <v>2750</v>
      </c>
      <c r="D26" s="61">
        <f>C26*B26</f>
        <v>2750</v>
      </c>
    </row>
    <row r="27" spans="1:5" ht="31.5" x14ac:dyDescent="0.25">
      <c r="A27" s="51" t="s">
        <v>478</v>
      </c>
      <c r="B27" s="61">
        <v>2</v>
      </c>
      <c r="C27" s="61">
        <v>755</v>
      </c>
      <c r="D27" s="61">
        <f>C27*B27</f>
        <v>1510</v>
      </c>
    </row>
    <row r="28" spans="1:5" ht="31.5" x14ac:dyDescent="0.25">
      <c r="A28" s="51" t="s">
        <v>479</v>
      </c>
      <c r="B28" s="61">
        <v>1</v>
      </c>
      <c r="C28" s="61">
        <v>450</v>
      </c>
      <c r="D28" s="61">
        <f>C28*B28</f>
        <v>450</v>
      </c>
    </row>
    <row r="29" spans="1:5" ht="15.75" x14ac:dyDescent="0.25">
      <c r="A29" s="51"/>
      <c r="B29" s="61"/>
      <c r="C29" s="61"/>
      <c r="D29" s="61"/>
      <c r="E29" s="77">
        <f>SUM(D26:D28)</f>
        <v>4710</v>
      </c>
    </row>
    <row r="30" spans="1:5" ht="15.75" x14ac:dyDescent="0.25">
      <c r="A30" s="51"/>
      <c r="B30" s="61"/>
      <c r="C30" s="61"/>
      <c r="D30" s="61"/>
    </row>
    <row r="31" spans="1:5" s="153" customFormat="1" ht="42.75" thickBot="1" x14ac:dyDescent="0.4">
      <c r="A31" s="153" t="s">
        <v>567</v>
      </c>
    </row>
    <row r="32" spans="1:5" s="146" customFormat="1" ht="21.75" thickTop="1" x14ac:dyDescent="0.25">
      <c r="A32" s="149" t="s">
        <v>0</v>
      </c>
      <c r="B32" s="150" t="s">
        <v>1</v>
      </c>
      <c r="C32" s="151" t="s">
        <v>2</v>
      </c>
      <c r="D32" s="152" t="s">
        <v>3</v>
      </c>
    </row>
    <row r="33" spans="1:6" s="146" customFormat="1" ht="39" x14ac:dyDescent="0.25">
      <c r="A33" s="145" t="s">
        <v>565</v>
      </c>
      <c r="B33" s="146">
        <v>1</v>
      </c>
      <c r="C33" s="146">
        <v>275</v>
      </c>
      <c r="D33" s="146">
        <f>C33*B33</f>
        <v>275</v>
      </c>
      <c r="E33" s="146">
        <v>1</v>
      </c>
    </row>
    <row r="34" spans="1:6" s="146" customFormat="1" ht="26.25" x14ac:dyDescent="0.25">
      <c r="A34" s="145" t="s">
        <v>568</v>
      </c>
      <c r="B34" s="146">
        <v>3</v>
      </c>
      <c r="C34" s="146">
        <v>1680</v>
      </c>
      <c r="D34" s="146">
        <f>C34*B34</f>
        <v>5040</v>
      </c>
      <c r="E34" s="146">
        <v>1</v>
      </c>
    </row>
    <row r="35" spans="1:6" s="146" customFormat="1" ht="15.75" x14ac:dyDescent="0.25">
      <c r="A35" s="145"/>
      <c r="D35" s="146">
        <f>SUM(D33:D34)</f>
        <v>5315</v>
      </c>
      <c r="E35" s="146">
        <v>5500</v>
      </c>
      <c r="F35" s="146">
        <f>E35-D35</f>
        <v>185</v>
      </c>
    </row>
    <row r="36" spans="1:6" s="146" customFormat="1" ht="15.75" x14ac:dyDescent="0.25">
      <c r="A36" s="145" t="s">
        <v>569</v>
      </c>
      <c r="B36" s="146">
        <v>2</v>
      </c>
      <c r="C36" s="146">
        <v>160</v>
      </c>
      <c r="D36" s="146">
        <f t="shared" ref="D36:D41" si="0">C36*B36</f>
        <v>320</v>
      </c>
    </row>
    <row r="37" spans="1:6" s="146" customFormat="1" ht="15.75" x14ac:dyDescent="0.25">
      <c r="A37" s="145" t="s">
        <v>572</v>
      </c>
      <c r="B37" s="146">
        <v>2</v>
      </c>
      <c r="C37" s="146">
        <v>470</v>
      </c>
      <c r="D37" s="146">
        <f t="shared" si="0"/>
        <v>940</v>
      </c>
    </row>
    <row r="38" spans="1:6" s="146" customFormat="1" ht="15.75" x14ac:dyDescent="0.25">
      <c r="A38" s="145" t="s">
        <v>573</v>
      </c>
      <c r="B38" s="146">
        <v>4</v>
      </c>
      <c r="C38" s="146">
        <v>600</v>
      </c>
      <c r="D38" s="146">
        <f t="shared" si="0"/>
        <v>2400</v>
      </c>
      <c r="F38" s="146">
        <f>F42+F35</f>
        <v>275</v>
      </c>
    </row>
    <row r="39" spans="1:6" s="146" customFormat="1" ht="15.75" x14ac:dyDescent="0.25">
      <c r="A39" s="145" t="s">
        <v>574</v>
      </c>
      <c r="B39" s="146">
        <v>2</v>
      </c>
      <c r="C39" s="146">
        <v>470</v>
      </c>
      <c r="D39" s="146">
        <f t="shared" si="0"/>
        <v>940</v>
      </c>
    </row>
    <row r="40" spans="1:6" s="146" customFormat="1" ht="15.75" x14ac:dyDescent="0.25">
      <c r="A40" s="145" t="s">
        <v>575</v>
      </c>
      <c r="B40" s="146">
        <v>2</v>
      </c>
      <c r="C40" s="146">
        <v>565</v>
      </c>
      <c r="D40" s="146">
        <f t="shared" si="0"/>
        <v>1130</v>
      </c>
    </row>
    <row r="41" spans="1:6" s="146" customFormat="1" ht="15.75" x14ac:dyDescent="0.25">
      <c r="A41" s="145" t="s">
        <v>570</v>
      </c>
      <c r="B41" s="146">
        <v>2</v>
      </c>
      <c r="C41" s="146">
        <v>340</v>
      </c>
      <c r="D41" s="146">
        <f t="shared" si="0"/>
        <v>680</v>
      </c>
    </row>
    <row r="42" spans="1:6" s="146" customFormat="1" ht="15.75" x14ac:dyDescent="0.25">
      <c r="A42" s="145"/>
      <c r="D42" s="146">
        <f>SUM(D36:D41)</f>
        <v>6410</v>
      </c>
      <c r="E42" s="146">
        <v>6500</v>
      </c>
      <c r="F42" s="146">
        <f>E42-D42</f>
        <v>90</v>
      </c>
    </row>
    <row r="43" spans="1:6" s="153" customFormat="1" ht="21.75" thickBot="1" x14ac:dyDescent="0.4">
      <c r="A43" s="153" t="s">
        <v>571</v>
      </c>
    </row>
    <row r="44" spans="1:6" s="146" customFormat="1" ht="21.75" thickTop="1" x14ac:dyDescent="0.25">
      <c r="A44" s="149" t="s">
        <v>0</v>
      </c>
      <c r="B44" s="150" t="s">
        <v>1</v>
      </c>
      <c r="C44" s="151" t="s">
        <v>2</v>
      </c>
      <c r="D44" s="152" t="s">
        <v>3</v>
      </c>
    </row>
    <row r="45" spans="1:6" s="146" customFormat="1" ht="15.75" x14ac:dyDescent="0.25">
      <c r="A45" s="145" t="s">
        <v>576</v>
      </c>
      <c r="B45" s="146">
        <v>3</v>
      </c>
      <c r="C45" s="146">
        <v>689</v>
      </c>
      <c r="D45" s="146">
        <f>C45*B45</f>
        <v>2067</v>
      </c>
    </row>
    <row r="46" spans="1:6" s="146" customFormat="1" ht="15.75" x14ac:dyDescent="0.25">
      <c r="A46" s="145" t="s">
        <v>577</v>
      </c>
      <c r="B46" s="146">
        <v>0</v>
      </c>
      <c r="C46" s="146">
        <v>350</v>
      </c>
      <c r="D46" s="146">
        <f>C46*B46</f>
        <v>0</v>
      </c>
    </row>
    <row r="47" spans="1:6" s="146" customFormat="1" ht="15.75" x14ac:dyDescent="0.25">
      <c r="A47" s="145"/>
      <c r="D47" s="146">
        <f>SUM(D45:D46)</f>
        <v>2067</v>
      </c>
    </row>
    <row r="48" spans="1:6" ht="15.75" x14ac:dyDescent="0.25">
      <c r="A48" s="51"/>
      <c r="B48" s="61"/>
      <c r="C48" s="61"/>
      <c r="D48" s="61"/>
    </row>
    <row r="49" spans="1:4" ht="15.75" x14ac:dyDescent="0.25">
      <c r="A49" s="51"/>
      <c r="B49" s="61"/>
      <c r="C49" s="61"/>
      <c r="D49" s="61"/>
    </row>
    <row r="50" spans="1:4" ht="15.75" x14ac:dyDescent="0.25">
      <c r="A50" s="51"/>
      <c r="B50" s="61"/>
      <c r="C50" s="61"/>
      <c r="D50" s="61"/>
    </row>
    <row r="51" spans="1:4" ht="15.75" x14ac:dyDescent="0.25">
      <c r="A51" s="51"/>
      <c r="B51" s="61"/>
      <c r="C51" s="61"/>
      <c r="D51" s="61"/>
    </row>
    <row r="52" spans="1:4" ht="15.75" x14ac:dyDescent="0.25">
      <c r="A52" s="51"/>
      <c r="B52" s="61"/>
      <c r="C52" s="61"/>
      <c r="D52" s="61"/>
    </row>
    <row r="53" spans="1:4" ht="15.75" x14ac:dyDescent="0.25">
      <c r="A53" s="51"/>
      <c r="B53" s="61"/>
      <c r="C53" s="61"/>
      <c r="D53" s="61"/>
    </row>
    <row r="54" spans="1:4" ht="15.75" x14ac:dyDescent="0.25">
      <c r="A54" s="51"/>
      <c r="B54" s="61"/>
      <c r="C54" s="61"/>
      <c r="D54" s="61"/>
    </row>
    <row r="55" spans="1:4" ht="15.75" x14ac:dyDescent="0.25">
      <c r="A55" s="51"/>
      <c r="B55" s="61"/>
      <c r="C55" s="61"/>
      <c r="D55" s="61"/>
    </row>
    <row r="56" spans="1:4" ht="15.75" x14ac:dyDescent="0.25">
      <c r="A56" s="51"/>
      <c r="B56" s="61"/>
      <c r="C56" s="61"/>
      <c r="D56" s="61"/>
    </row>
    <row r="57" spans="1:4" ht="15.75" x14ac:dyDescent="0.25">
      <c r="A57" s="51"/>
      <c r="B57" s="61"/>
      <c r="C57" s="61"/>
      <c r="D57" s="61"/>
    </row>
    <row r="58" spans="1:4" ht="15.75" x14ac:dyDescent="0.25">
      <c r="A58" s="51"/>
      <c r="B58" s="61"/>
      <c r="C58" s="61"/>
      <c r="D58" s="61"/>
    </row>
    <row r="59" spans="1:4" ht="15.75" x14ac:dyDescent="0.25">
      <c r="A59" s="51"/>
      <c r="B59" s="61"/>
      <c r="C59" s="61"/>
      <c r="D59" s="61"/>
    </row>
    <row r="60" spans="1:4" ht="15.75" x14ac:dyDescent="0.25">
      <c r="A60" s="51"/>
      <c r="B60" s="61"/>
      <c r="C60" s="61"/>
      <c r="D60" s="61"/>
    </row>
    <row r="61" spans="1:4" ht="15.75" x14ac:dyDescent="0.25">
      <c r="A61" s="51"/>
      <c r="B61" s="61"/>
      <c r="C61" s="61"/>
      <c r="D61" s="61"/>
    </row>
    <row r="62" spans="1:4" ht="15.75" x14ac:dyDescent="0.25">
      <c r="A62" s="51"/>
      <c r="B62" s="61"/>
      <c r="C62" s="61"/>
      <c r="D62" s="61"/>
    </row>
    <row r="63" spans="1:4" ht="15.75" x14ac:dyDescent="0.25">
      <c r="A63" s="51"/>
      <c r="B63" s="61"/>
      <c r="C63" s="61"/>
      <c r="D63" s="61"/>
    </row>
    <row r="64" spans="1:4" ht="15.75" x14ac:dyDescent="0.25">
      <c r="A64" s="51"/>
      <c r="B64" s="61"/>
      <c r="C64" s="61"/>
      <c r="D64" s="61"/>
    </row>
    <row r="65" spans="1:4" ht="15.75" x14ac:dyDescent="0.25">
      <c r="A65" s="51"/>
      <c r="B65" s="61"/>
      <c r="C65" s="61"/>
      <c r="D65" s="61"/>
    </row>
    <row r="66" spans="1:4" ht="15.75" x14ac:dyDescent="0.25">
      <c r="A66" s="51"/>
      <c r="B66" s="61"/>
      <c r="C66" s="61"/>
      <c r="D66" s="61"/>
    </row>
    <row r="67" spans="1:4" ht="15.75" x14ac:dyDescent="0.25">
      <c r="A67" s="51"/>
      <c r="B67" s="61"/>
      <c r="C67" s="61"/>
      <c r="D67" s="61"/>
    </row>
    <row r="68" spans="1:4" ht="15.75" x14ac:dyDescent="0.25">
      <c r="A68" s="51"/>
      <c r="B68" s="61"/>
      <c r="C68" s="61"/>
      <c r="D68" s="61"/>
    </row>
    <row r="69" spans="1:4" ht="15.75" x14ac:dyDescent="0.25">
      <c r="A69" s="51"/>
      <c r="B69" s="61"/>
      <c r="C69" s="61"/>
      <c r="D69" s="61"/>
    </row>
    <row r="70" spans="1:4" ht="15.75" x14ac:dyDescent="0.25">
      <c r="A70" s="51"/>
      <c r="B70" s="61"/>
      <c r="C70" s="61"/>
      <c r="D70" s="61"/>
    </row>
    <row r="71" spans="1:4" ht="15.75" x14ac:dyDescent="0.25">
      <c r="A71" s="51"/>
      <c r="B71" s="61"/>
      <c r="C71" s="61"/>
      <c r="D71" s="61"/>
    </row>
    <row r="72" spans="1:4" ht="15.75" x14ac:dyDescent="0.25">
      <c r="A72" s="51"/>
      <c r="B72" s="61"/>
      <c r="C72" s="61"/>
      <c r="D72" s="61"/>
    </row>
    <row r="73" spans="1:4" ht="15.75" x14ac:dyDescent="0.25">
      <c r="A73" s="51"/>
      <c r="B73" s="61"/>
      <c r="C73" s="61"/>
      <c r="D73" s="61"/>
    </row>
    <row r="74" spans="1:4" ht="15.75" x14ac:dyDescent="0.25">
      <c r="A74" s="51"/>
      <c r="B74" s="61"/>
      <c r="C74" s="61"/>
      <c r="D74" s="61"/>
    </row>
    <row r="75" spans="1:4" ht="15.75" x14ac:dyDescent="0.25">
      <c r="A75" s="51"/>
      <c r="B75" s="61"/>
      <c r="C75" s="61"/>
      <c r="D75" s="61"/>
    </row>
    <row r="76" spans="1:4" ht="15.75" x14ac:dyDescent="0.25">
      <c r="A76" s="51"/>
      <c r="B76" s="61"/>
      <c r="C76" s="61"/>
      <c r="D76" s="61"/>
    </row>
    <row r="77" spans="1:4" ht="15.75" x14ac:dyDescent="0.25">
      <c r="A77" s="51"/>
      <c r="B77" s="61"/>
      <c r="C77" s="61"/>
      <c r="D77" s="61"/>
    </row>
    <row r="78" spans="1:4" ht="15.75" x14ac:dyDescent="0.25">
      <c r="A78" s="51"/>
      <c r="B78" s="61"/>
      <c r="C78" s="61"/>
      <c r="D78" s="61"/>
    </row>
    <row r="79" spans="1:4" ht="15.75" x14ac:dyDescent="0.25">
      <c r="A79" s="51"/>
      <c r="B79" s="61"/>
      <c r="C79" s="61"/>
      <c r="D79" s="61"/>
    </row>
    <row r="80" spans="1:4" ht="15.75" x14ac:dyDescent="0.25">
      <c r="A80" s="51"/>
      <c r="B80" s="61"/>
      <c r="C80" s="61"/>
      <c r="D80" s="61"/>
    </row>
    <row r="81" spans="1:4" ht="15.75" x14ac:dyDescent="0.25">
      <c r="A81" s="51"/>
      <c r="B81" s="61"/>
      <c r="C81" s="61"/>
      <c r="D81" s="61"/>
    </row>
    <row r="82" spans="1:4" ht="15.75" x14ac:dyDescent="0.25">
      <c r="A82" s="51"/>
      <c r="B82" s="61"/>
      <c r="C82" s="61"/>
      <c r="D82" s="61"/>
    </row>
    <row r="83" spans="1:4" ht="15.75" x14ac:dyDescent="0.25">
      <c r="A83" s="51"/>
      <c r="B83" s="61"/>
      <c r="C83" s="61"/>
      <c r="D83" s="61"/>
    </row>
    <row r="84" spans="1:4" ht="15.75" x14ac:dyDescent="0.25">
      <c r="A84" s="51"/>
      <c r="B84" s="61"/>
      <c r="C84" s="61"/>
      <c r="D84" s="61"/>
    </row>
    <row r="85" spans="1:4" ht="15.75" x14ac:dyDescent="0.25">
      <c r="A85" s="51"/>
      <c r="B85" s="61"/>
      <c r="C85" s="61"/>
      <c r="D85" s="61"/>
    </row>
    <row r="86" spans="1:4" ht="15.75" x14ac:dyDescent="0.25">
      <c r="A86" s="51"/>
      <c r="B86" s="61"/>
      <c r="C86" s="61"/>
      <c r="D86" s="61"/>
    </row>
    <row r="87" spans="1:4" ht="15.75" x14ac:dyDescent="0.25">
      <c r="A87" s="51"/>
      <c r="B87" s="61"/>
      <c r="C87" s="61"/>
      <c r="D87" s="61"/>
    </row>
    <row r="88" spans="1:4" ht="15.75" x14ac:dyDescent="0.25">
      <c r="A88" s="51"/>
      <c r="B88" s="61"/>
      <c r="C88" s="61"/>
      <c r="D88" s="61"/>
    </row>
    <row r="89" spans="1:4" ht="15.75" x14ac:dyDescent="0.25">
      <c r="A89" s="51"/>
      <c r="B89" s="61"/>
      <c r="C89" s="61"/>
      <c r="D89" s="61"/>
    </row>
    <row r="90" spans="1:4" ht="15.75" x14ac:dyDescent="0.25">
      <c r="A90" s="51"/>
      <c r="B90" s="61"/>
      <c r="C90" s="61"/>
      <c r="D90" s="61"/>
    </row>
    <row r="91" spans="1:4" ht="15.75" x14ac:dyDescent="0.25">
      <c r="A91" s="51"/>
      <c r="B91" s="61"/>
      <c r="C91" s="61"/>
      <c r="D91" s="61"/>
    </row>
    <row r="92" spans="1:4" ht="15.75" x14ac:dyDescent="0.25">
      <c r="A92" s="51"/>
      <c r="B92" s="61"/>
      <c r="C92" s="61"/>
      <c r="D92" s="61"/>
    </row>
    <row r="93" spans="1:4" ht="15.75" x14ac:dyDescent="0.25">
      <c r="A93" s="51"/>
      <c r="B93" s="61"/>
      <c r="C93" s="61"/>
      <c r="D93" s="61"/>
    </row>
    <row r="94" spans="1:4" ht="15.75" x14ac:dyDescent="0.25">
      <c r="A94" s="51"/>
      <c r="B94" s="61"/>
      <c r="C94" s="61"/>
      <c r="D94" s="61"/>
    </row>
    <row r="95" spans="1:4" ht="15.75" x14ac:dyDescent="0.25">
      <c r="A95" s="51"/>
      <c r="B95" s="61"/>
      <c r="C95" s="61"/>
      <c r="D95" s="61"/>
    </row>
    <row r="96" spans="1:4" ht="15.75" x14ac:dyDescent="0.25">
      <c r="A96" s="51"/>
      <c r="B96" s="61"/>
      <c r="C96" s="61"/>
      <c r="D96" s="61"/>
    </row>
    <row r="97" spans="1:4" ht="15.75" x14ac:dyDescent="0.25">
      <c r="A97" s="51"/>
      <c r="B97" s="61"/>
      <c r="C97" s="61"/>
      <c r="D97" s="61"/>
    </row>
    <row r="98" spans="1:4" ht="15.75" x14ac:dyDescent="0.25">
      <c r="A98" s="51"/>
      <c r="B98" s="61"/>
      <c r="C98" s="61"/>
      <c r="D98" s="61"/>
    </row>
    <row r="99" spans="1:4" ht="15.75" x14ac:dyDescent="0.25">
      <c r="A99" s="51"/>
      <c r="B99" s="61"/>
      <c r="C99" s="61"/>
      <c r="D99" s="61"/>
    </row>
    <row r="100" spans="1:4" ht="15.75" x14ac:dyDescent="0.25">
      <c r="A100" s="51"/>
      <c r="B100" s="61"/>
      <c r="C100" s="61"/>
      <c r="D100" s="61"/>
    </row>
    <row r="101" spans="1:4" ht="15.75" x14ac:dyDescent="0.25">
      <c r="A101" s="51"/>
      <c r="B101" s="61"/>
      <c r="C101" s="61"/>
      <c r="D101" s="61"/>
    </row>
    <row r="102" spans="1:4" ht="15.75" x14ac:dyDescent="0.25">
      <c r="A102" s="51"/>
      <c r="B102" s="61"/>
      <c r="C102" s="61"/>
      <c r="D102" s="61"/>
    </row>
    <row r="103" spans="1:4" ht="15.75" x14ac:dyDescent="0.25">
      <c r="A103" s="51"/>
      <c r="B103" s="61"/>
      <c r="C103" s="61"/>
      <c r="D103" s="61"/>
    </row>
    <row r="104" spans="1:4" ht="15.75" x14ac:dyDescent="0.25">
      <c r="A104" s="51"/>
      <c r="B104" s="61"/>
      <c r="C104" s="61"/>
      <c r="D104" s="61"/>
    </row>
    <row r="105" spans="1:4" ht="15.75" x14ac:dyDescent="0.25">
      <c r="A105" s="51"/>
      <c r="B105" s="61"/>
      <c r="C105" s="61"/>
      <c r="D105" s="61"/>
    </row>
    <row r="106" spans="1:4" ht="15.75" x14ac:dyDescent="0.25">
      <c r="A106" s="51"/>
      <c r="B106" s="61"/>
      <c r="C106" s="61"/>
      <c r="D106" s="61"/>
    </row>
    <row r="107" spans="1:4" ht="15.75" x14ac:dyDescent="0.25">
      <c r="A107" s="51"/>
      <c r="B107" s="61"/>
      <c r="C107" s="61"/>
      <c r="D107" s="61"/>
    </row>
    <row r="108" spans="1:4" ht="15.75" x14ac:dyDescent="0.25">
      <c r="A108" s="51"/>
      <c r="B108" s="61"/>
      <c r="C108" s="61"/>
      <c r="D108" s="61"/>
    </row>
    <row r="109" spans="1:4" ht="15.75" x14ac:dyDescent="0.25">
      <c r="A109" s="51"/>
      <c r="B109" s="61"/>
      <c r="C109" s="61"/>
      <c r="D109" s="61"/>
    </row>
    <row r="110" spans="1:4" ht="15.75" x14ac:dyDescent="0.25">
      <c r="A110" s="51"/>
      <c r="B110" s="61"/>
      <c r="C110" s="61"/>
      <c r="D110" s="61"/>
    </row>
    <row r="111" spans="1:4" ht="15.75" x14ac:dyDescent="0.25">
      <c r="A111" s="51"/>
      <c r="B111" s="61"/>
      <c r="C111" s="61"/>
      <c r="D111" s="61"/>
    </row>
    <row r="112" spans="1:4" ht="15.75" x14ac:dyDescent="0.25">
      <c r="A112" s="51"/>
      <c r="B112" s="61"/>
      <c r="C112" s="61"/>
      <c r="D112" s="61"/>
    </row>
    <row r="113" spans="1:4" ht="15.75" x14ac:dyDescent="0.25">
      <c r="A113" s="51"/>
      <c r="B113" s="61"/>
      <c r="C113" s="61"/>
      <c r="D113" s="61"/>
    </row>
    <row r="114" spans="1:4" ht="15.75" x14ac:dyDescent="0.25">
      <c r="A114" s="51"/>
      <c r="B114" s="61"/>
      <c r="C114" s="61"/>
      <c r="D114" s="61"/>
    </row>
    <row r="115" spans="1:4" ht="15.75" x14ac:dyDescent="0.25">
      <c r="A115" s="51"/>
      <c r="B115" s="61"/>
      <c r="C115" s="61"/>
      <c r="D115" s="61"/>
    </row>
    <row r="116" spans="1:4" ht="15.75" x14ac:dyDescent="0.25">
      <c r="A116" s="51"/>
      <c r="B116" s="61"/>
      <c r="C116" s="61"/>
      <c r="D116" s="61"/>
    </row>
    <row r="117" spans="1:4" ht="15.75" x14ac:dyDescent="0.25">
      <c r="A117" s="51"/>
      <c r="B117" s="61"/>
      <c r="C117" s="61"/>
      <c r="D117" s="61"/>
    </row>
    <row r="118" spans="1:4" ht="15.75" x14ac:dyDescent="0.25">
      <c r="A118" s="51"/>
      <c r="B118" s="61"/>
      <c r="C118" s="61"/>
      <c r="D118" s="61"/>
    </row>
    <row r="119" spans="1:4" ht="15.75" x14ac:dyDescent="0.25">
      <c r="A119" s="51"/>
      <c r="B119" s="61"/>
      <c r="C119" s="61"/>
      <c r="D119" s="61"/>
    </row>
    <row r="120" spans="1:4" ht="15.75" x14ac:dyDescent="0.25">
      <c r="A120" s="51"/>
      <c r="B120" s="61"/>
      <c r="C120" s="61"/>
      <c r="D120" s="61"/>
    </row>
    <row r="121" spans="1:4" ht="15.75" x14ac:dyDescent="0.25">
      <c r="A121" s="51"/>
      <c r="B121" s="61"/>
      <c r="C121" s="61"/>
      <c r="D121" s="61"/>
    </row>
    <row r="122" spans="1:4" ht="15.75" x14ac:dyDescent="0.25">
      <c r="A122" s="51"/>
      <c r="B122" s="61"/>
      <c r="C122" s="61"/>
      <c r="D122" s="61"/>
    </row>
    <row r="123" spans="1:4" ht="15.75" x14ac:dyDescent="0.25">
      <c r="A123" s="51"/>
      <c r="B123" s="61"/>
      <c r="C123" s="61"/>
      <c r="D123" s="61"/>
    </row>
    <row r="124" spans="1:4" ht="15.75" x14ac:dyDescent="0.25">
      <c r="A124" s="51"/>
      <c r="B124" s="61"/>
      <c r="C124" s="61"/>
      <c r="D124" s="61"/>
    </row>
    <row r="125" spans="1:4" ht="15.75" x14ac:dyDescent="0.25">
      <c r="A125" s="51"/>
      <c r="B125" s="61"/>
      <c r="C125" s="61"/>
      <c r="D125" s="61"/>
    </row>
    <row r="126" spans="1:4" ht="15.75" x14ac:dyDescent="0.25">
      <c r="A126" s="51"/>
      <c r="B126" s="61"/>
      <c r="C126" s="61"/>
      <c r="D126" s="61"/>
    </row>
    <row r="127" spans="1:4" ht="15.75" x14ac:dyDescent="0.25">
      <c r="A127" s="51"/>
      <c r="B127" s="61"/>
      <c r="C127" s="61"/>
      <c r="D127" s="61"/>
    </row>
    <row r="128" spans="1:4" ht="15.75" x14ac:dyDescent="0.25">
      <c r="A128" s="51"/>
      <c r="B128" s="61"/>
      <c r="C128" s="61"/>
      <c r="D128" s="61"/>
    </row>
    <row r="129" spans="1:4" ht="15.75" x14ac:dyDescent="0.25">
      <c r="A129" s="51"/>
      <c r="B129" s="61"/>
      <c r="C129" s="61"/>
      <c r="D129" s="61"/>
    </row>
    <row r="130" spans="1:4" ht="15.75" x14ac:dyDescent="0.25">
      <c r="A130" s="51"/>
      <c r="B130" s="61"/>
      <c r="C130" s="61"/>
      <c r="D130" s="61"/>
    </row>
    <row r="131" spans="1:4" ht="15.75" x14ac:dyDescent="0.25">
      <c r="A131" s="51"/>
      <c r="B131" s="61"/>
      <c r="C131" s="61"/>
      <c r="D131" s="61"/>
    </row>
    <row r="132" spans="1:4" ht="15.75" x14ac:dyDescent="0.25">
      <c r="A132" s="51"/>
      <c r="B132" s="61"/>
      <c r="C132" s="61"/>
      <c r="D132" s="61"/>
    </row>
    <row r="133" spans="1:4" ht="15.75" x14ac:dyDescent="0.25">
      <c r="A133" s="51"/>
      <c r="B133" s="61"/>
      <c r="C133" s="61"/>
      <c r="D133" s="61"/>
    </row>
    <row r="134" spans="1:4" ht="15.75" x14ac:dyDescent="0.25">
      <c r="A134" s="51"/>
      <c r="B134" s="61"/>
      <c r="C134" s="61"/>
      <c r="D134" s="61"/>
    </row>
    <row r="135" spans="1:4" ht="15.75" x14ac:dyDescent="0.25">
      <c r="A135" s="51"/>
      <c r="B135" s="61"/>
      <c r="C135" s="61"/>
      <c r="D135" s="61"/>
    </row>
    <row r="136" spans="1:4" ht="15.75" x14ac:dyDescent="0.25">
      <c r="A136" s="51"/>
      <c r="B136" s="61"/>
      <c r="C136" s="61"/>
      <c r="D136" s="61"/>
    </row>
    <row r="137" spans="1:4" ht="15.75" x14ac:dyDescent="0.25">
      <c r="A137" s="51"/>
      <c r="B137" s="61"/>
      <c r="C137" s="61"/>
      <c r="D137" s="61"/>
    </row>
    <row r="138" spans="1:4" ht="15.75" x14ac:dyDescent="0.25">
      <c r="A138" s="51"/>
      <c r="B138" s="61"/>
      <c r="C138" s="61"/>
      <c r="D138" s="61"/>
    </row>
    <row r="139" spans="1:4" ht="15.75" x14ac:dyDescent="0.25">
      <c r="A139" s="51"/>
      <c r="B139" s="61"/>
      <c r="C139" s="61"/>
      <c r="D139" s="61"/>
    </row>
    <row r="140" spans="1:4" ht="15.75" x14ac:dyDescent="0.25">
      <c r="A140" s="51"/>
      <c r="B140" s="61"/>
      <c r="C140" s="61"/>
      <c r="D140" s="61"/>
    </row>
    <row r="141" spans="1:4" ht="15.75" x14ac:dyDescent="0.25">
      <c r="A141" s="51"/>
      <c r="B141" s="61"/>
      <c r="C141" s="61"/>
      <c r="D141" s="61"/>
    </row>
    <row r="142" spans="1:4" ht="15.75" x14ac:dyDescent="0.25">
      <c r="A142" s="51"/>
      <c r="B142" s="61"/>
      <c r="C142" s="61"/>
      <c r="D142" s="61"/>
    </row>
    <row r="143" spans="1:4" ht="15.75" x14ac:dyDescent="0.25">
      <c r="A143" s="51"/>
      <c r="B143" s="61"/>
      <c r="C143" s="61"/>
      <c r="D143" s="61"/>
    </row>
    <row r="144" spans="1:4" ht="15.75" x14ac:dyDescent="0.25">
      <c r="A144" s="51"/>
      <c r="B144" s="61"/>
      <c r="C144" s="61"/>
      <c r="D144" s="61"/>
    </row>
    <row r="145" spans="1:4" ht="15.75" x14ac:dyDescent="0.25">
      <c r="A145" s="51"/>
      <c r="B145" s="61"/>
      <c r="C145" s="61"/>
      <c r="D145" s="61"/>
    </row>
    <row r="146" spans="1:4" ht="15.75" x14ac:dyDescent="0.25">
      <c r="A146" s="51"/>
      <c r="B146" s="61"/>
      <c r="C146" s="61"/>
      <c r="D146" s="61"/>
    </row>
    <row r="147" spans="1:4" ht="15.75" x14ac:dyDescent="0.25">
      <c r="A147" s="51"/>
      <c r="B147" s="61"/>
      <c r="C147" s="61"/>
      <c r="D147" s="61"/>
    </row>
    <row r="148" spans="1:4" ht="15.75" x14ac:dyDescent="0.25">
      <c r="A148" s="51"/>
      <c r="B148" s="61"/>
      <c r="C148" s="61"/>
      <c r="D148" s="61"/>
    </row>
    <row r="149" spans="1:4" ht="15.75" x14ac:dyDescent="0.25">
      <c r="A149" s="51"/>
      <c r="B149" s="61"/>
      <c r="C149" s="61"/>
      <c r="D149" s="61"/>
    </row>
    <row r="150" spans="1:4" ht="15.75" x14ac:dyDescent="0.25">
      <c r="A150" s="51"/>
      <c r="B150" s="61"/>
      <c r="C150" s="61"/>
      <c r="D150" s="61"/>
    </row>
    <row r="151" spans="1:4" ht="15.75" x14ac:dyDescent="0.25">
      <c r="A151" s="51"/>
      <c r="B151" s="61"/>
      <c r="C151" s="61"/>
      <c r="D151" s="61"/>
    </row>
    <row r="152" spans="1:4" ht="15.75" x14ac:dyDescent="0.25">
      <c r="A152" s="51"/>
      <c r="B152" s="61"/>
      <c r="C152" s="61"/>
      <c r="D152" s="61"/>
    </row>
    <row r="153" spans="1:4" ht="15.75" x14ac:dyDescent="0.25">
      <c r="A153" s="51"/>
      <c r="B153" s="61"/>
      <c r="C153" s="61"/>
      <c r="D153" s="61"/>
    </row>
    <row r="154" spans="1:4" ht="15.75" x14ac:dyDescent="0.25">
      <c r="A154" s="51"/>
      <c r="B154" s="61"/>
      <c r="C154" s="61"/>
      <c r="D154" s="61"/>
    </row>
    <row r="155" spans="1:4" ht="15.75" x14ac:dyDescent="0.25">
      <c r="A155" s="51"/>
      <c r="B155" s="61"/>
      <c r="C155" s="61"/>
      <c r="D155" s="61"/>
    </row>
    <row r="156" spans="1:4" ht="15.75" x14ac:dyDescent="0.25">
      <c r="A156" s="51"/>
      <c r="B156" s="61"/>
      <c r="C156" s="61"/>
      <c r="D156" s="61"/>
    </row>
    <row r="157" spans="1:4" ht="15.75" x14ac:dyDescent="0.25">
      <c r="A157" s="51"/>
      <c r="B157" s="61"/>
      <c r="C157" s="61"/>
      <c r="D157" s="61"/>
    </row>
    <row r="158" spans="1:4" ht="15.75" x14ac:dyDescent="0.25">
      <c r="A158" s="51"/>
      <c r="B158" s="61"/>
      <c r="C158" s="61"/>
      <c r="D158" s="61"/>
    </row>
    <row r="159" spans="1:4" ht="15.75" x14ac:dyDescent="0.25">
      <c r="A159" s="51"/>
      <c r="B159" s="61"/>
      <c r="C159" s="61"/>
      <c r="D159" s="61"/>
    </row>
    <row r="160" spans="1:4" ht="15.75" x14ac:dyDescent="0.25">
      <c r="A160" s="51"/>
      <c r="B160" s="61"/>
      <c r="C160" s="61"/>
      <c r="D160" s="61"/>
    </row>
    <row r="161" spans="1:4" ht="15.75" x14ac:dyDescent="0.25">
      <c r="A161" s="51"/>
      <c r="B161" s="61"/>
      <c r="C161" s="61"/>
      <c r="D161" s="61"/>
    </row>
    <row r="162" spans="1:4" ht="15.75" x14ac:dyDescent="0.25">
      <c r="A162" s="51"/>
      <c r="B162" s="61"/>
      <c r="C162" s="61"/>
      <c r="D162" s="61"/>
    </row>
    <row r="163" spans="1:4" ht="15.75" x14ac:dyDescent="0.25">
      <c r="A163" s="51"/>
      <c r="B163" s="61"/>
      <c r="C163" s="61"/>
      <c r="D163" s="61"/>
    </row>
    <row r="164" spans="1:4" ht="15.75" x14ac:dyDescent="0.25">
      <c r="A164" s="51"/>
      <c r="B164" s="61"/>
      <c r="C164" s="61"/>
      <c r="D164" s="61"/>
    </row>
    <row r="165" spans="1:4" ht="15.75" x14ac:dyDescent="0.25">
      <c r="A165" s="51"/>
      <c r="B165" s="61"/>
      <c r="C165" s="61"/>
      <c r="D165" s="61"/>
    </row>
    <row r="166" spans="1:4" ht="15.75" x14ac:dyDescent="0.25">
      <c r="A166" s="51"/>
      <c r="B166" s="61"/>
      <c r="C166" s="61"/>
      <c r="D166" s="61"/>
    </row>
    <row r="167" spans="1:4" ht="15.75" x14ac:dyDescent="0.25">
      <c r="A167" s="51"/>
      <c r="B167" s="61"/>
      <c r="C167" s="61"/>
      <c r="D167" s="61"/>
    </row>
    <row r="168" spans="1:4" ht="15.75" x14ac:dyDescent="0.25">
      <c r="A168" s="51"/>
      <c r="B168" s="61"/>
      <c r="C168" s="61"/>
      <c r="D168" s="61"/>
    </row>
    <row r="169" spans="1:4" ht="15.75" x14ac:dyDescent="0.25">
      <c r="A169" s="51"/>
      <c r="B169" s="61"/>
      <c r="C169" s="61"/>
      <c r="D169" s="61"/>
    </row>
    <row r="170" spans="1:4" ht="15.75" x14ac:dyDescent="0.25">
      <c r="A170" s="51"/>
      <c r="B170" s="61"/>
      <c r="C170" s="61"/>
      <c r="D170" s="61"/>
    </row>
    <row r="171" spans="1:4" ht="15.75" x14ac:dyDescent="0.25">
      <c r="A171" s="51"/>
      <c r="B171" s="61"/>
      <c r="C171" s="61"/>
      <c r="D171" s="61"/>
    </row>
    <row r="172" spans="1:4" ht="15.75" x14ac:dyDescent="0.25">
      <c r="A172" s="51"/>
      <c r="B172" s="61"/>
      <c r="C172" s="61"/>
      <c r="D172" s="61"/>
    </row>
    <row r="173" spans="1:4" ht="15.75" x14ac:dyDescent="0.25">
      <c r="A173" s="51"/>
      <c r="B173" s="61"/>
      <c r="C173" s="61"/>
      <c r="D173" s="61"/>
    </row>
    <row r="174" spans="1:4" ht="15.75" x14ac:dyDescent="0.25">
      <c r="A174" s="51"/>
      <c r="B174" s="61"/>
      <c r="C174" s="61"/>
      <c r="D174" s="61"/>
    </row>
    <row r="175" spans="1:4" ht="15.75" x14ac:dyDescent="0.25">
      <c r="A175" s="51"/>
      <c r="B175" s="61"/>
      <c r="C175" s="61"/>
      <c r="D175" s="61"/>
    </row>
    <row r="176" spans="1:4" ht="15.75" x14ac:dyDescent="0.25">
      <c r="A176" s="51"/>
      <c r="B176" s="61"/>
      <c r="C176" s="61"/>
      <c r="D176" s="61"/>
    </row>
    <row r="177" spans="1:4" ht="15.75" x14ac:dyDescent="0.25">
      <c r="A177" s="51"/>
      <c r="B177" s="61"/>
      <c r="C177" s="61"/>
      <c r="D177" s="61"/>
    </row>
    <row r="178" spans="1:4" ht="15.75" x14ac:dyDescent="0.25">
      <c r="A178" s="51"/>
      <c r="B178" s="61"/>
      <c r="C178" s="61"/>
      <c r="D178" s="61"/>
    </row>
    <row r="179" spans="1:4" ht="15.75" x14ac:dyDescent="0.25">
      <c r="A179" s="51"/>
      <c r="B179" s="61"/>
      <c r="C179" s="61"/>
      <c r="D179" s="61"/>
    </row>
    <row r="180" spans="1:4" ht="15.75" x14ac:dyDescent="0.25">
      <c r="A180" s="51"/>
      <c r="B180" s="61"/>
      <c r="C180" s="61"/>
      <c r="D180" s="61"/>
    </row>
    <row r="181" spans="1:4" ht="15.75" x14ac:dyDescent="0.25">
      <c r="A181" s="51"/>
      <c r="B181" s="61"/>
      <c r="C181" s="61"/>
      <c r="D181" s="61"/>
    </row>
    <row r="182" spans="1:4" ht="15.75" x14ac:dyDescent="0.25">
      <c r="A182" s="51"/>
      <c r="B182" s="61"/>
      <c r="C182" s="61"/>
      <c r="D182" s="61"/>
    </row>
    <row r="183" spans="1:4" ht="15.75" x14ac:dyDescent="0.25">
      <c r="A183" s="51"/>
      <c r="B183" s="61"/>
      <c r="C183" s="61"/>
      <c r="D183" s="61"/>
    </row>
    <row r="184" spans="1:4" ht="15.75" x14ac:dyDescent="0.25">
      <c r="A184" s="51"/>
      <c r="B184" s="61"/>
      <c r="C184" s="61"/>
      <c r="D184" s="61"/>
    </row>
    <row r="185" spans="1:4" ht="15.75" x14ac:dyDescent="0.25">
      <c r="A185" s="51"/>
      <c r="B185" s="61"/>
      <c r="C185" s="61"/>
      <c r="D185" s="61"/>
    </row>
    <row r="186" spans="1:4" ht="15.75" x14ac:dyDescent="0.25">
      <c r="A186" s="51"/>
      <c r="B186" s="61"/>
      <c r="C186" s="61"/>
      <c r="D186" s="61"/>
    </row>
    <row r="187" spans="1:4" ht="15.75" x14ac:dyDescent="0.25">
      <c r="A187" s="51"/>
      <c r="B187" s="61"/>
      <c r="C187" s="61"/>
      <c r="D187" s="61"/>
    </row>
    <row r="188" spans="1:4" ht="15.75" x14ac:dyDescent="0.25">
      <c r="A188" s="51"/>
      <c r="B188" s="61"/>
      <c r="C188" s="61"/>
      <c r="D188" s="61"/>
    </row>
    <row r="189" spans="1:4" ht="15.75" x14ac:dyDescent="0.25">
      <c r="A189" s="51"/>
      <c r="B189" s="61"/>
      <c r="C189" s="61"/>
      <c r="D189" s="61"/>
    </row>
    <row r="190" spans="1:4" ht="15.75" x14ac:dyDescent="0.25">
      <c r="A190" s="51"/>
      <c r="B190" s="61"/>
      <c r="C190" s="61"/>
      <c r="D190" s="61"/>
    </row>
    <row r="191" spans="1:4" ht="15.75" x14ac:dyDescent="0.25">
      <c r="A191" s="51"/>
      <c r="B191" s="61"/>
      <c r="C191" s="61"/>
      <c r="D191" s="61"/>
    </row>
    <row r="192" spans="1:4" ht="15.75" x14ac:dyDescent="0.25">
      <c r="A192" s="51"/>
      <c r="B192" s="61"/>
      <c r="C192" s="61"/>
      <c r="D192" s="61"/>
    </row>
    <row r="193" spans="1:4" ht="15.75" x14ac:dyDescent="0.25">
      <c r="A193" s="51"/>
      <c r="B193" s="61"/>
      <c r="C193" s="61"/>
      <c r="D193" s="61"/>
    </row>
    <row r="194" spans="1:4" ht="15.75" x14ac:dyDescent="0.25">
      <c r="A194" s="51"/>
      <c r="B194" s="61"/>
      <c r="C194" s="61"/>
      <c r="D194" s="61"/>
    </row>
    <row r="195" spans="1:4" ht="15.75" x14ac:dyDescent="0.25">
      <c r="A195" s="51"/>
      <c r="B195" s="61"/>
      <c r="C195" s="61"/>
      <c r="D195" s="61"/>
    </row>
    <row r="196" spans="1:4" ht="15.75" x14ac:dyDescent="0.25">
      <c r="A196" s="51"/>
      <c r="B196" s="61"/>
      <c r="C196" s="61"/>
      <c r="D196" s="61"/>
    </row>
    <row r="197" spans="1:4" ht="15.75" x14ac:dyDescent="0.25">
      <c r="A197" s="51"/>
      <c r="B197" s="61"/>
      <c r="C197" s="61"/>
      <c r="D197" s="61"/>
    </row>
    <row r="198" spans="1:4" ht="15.75" x14ac:dyDescent="0.25">
      <c r="A198" s="51"/>
      <c r="B198" s="61"/>
      <c r="C198" s="61"/>
      <c r="D198" s="61"/>
    </row>
    <row r="199" spans="1:4" ht="15.75" x14ac:dyDescent="0.25">
      <c r="A199" s="51"/>
      <c r="B199" s="61"/>
      <c r="C199" s="61"/>
      <c r="D199" s="61"/>
    </row>
    <row r="200" spans="1:4" ht="15.75" x14ac:dyDescent="0.25">
      <c r="A200" s="51"/>
      <c r="B200" s="61"/>
      <c r="C200" s="61"/>
      <c r="D200" s="61"/>
    </row>
    <row r="201" spans="1:4" ht="15.75" x14ac:dyDescent="0.25">
      <c r="A201" s="51"/>
      <c r="B201" s="61"/>
      <c r="C201" s="61"/>
      <c r="D201" s="61"/>
    </row>
    <row r="202" spans="1:4" ht="15.75" x14ac:dyDescent="0.25">
      <c r="A202" s="51"/>
      <c r="B202" s="61"/>
      <c r="C202" s="61"/>
      <c r="D202" s="61"/>
    </row>
    <row r="203" spans="1:4" ht="15.75" x14ac:dyDescent="0.25">
      <c r="A203" s="51"/>
      <c r="B203" s="61"/>
      <c r="C203" s="61"/>
      <c r="D203" s="61"/>
    </row>
    <row r="204" spans="1:4" ht="15.75" x14ac:dyDescent="0.25">
      <c r="A204" s="51"/>
      <c r="B204" s="61"/>
      <c r="C204" s="61"/>
      <c r="D204" s="61"/>
    </row>
    <row r="205" spans="1:4" ht="15.75" x14ac:dyDescent="0.25">
      <c r="A205" s="51"/>
      <c r="B205" s="61"/>
      <c r="C205" s="61"/>
      <c r="D205" s="61"/>
    </row>
    <row r="206" spans="1:4" ht="15.75" x14ac:dyDescent="0.25">
      <c r="A206" s="51"/>
      <c r="B206" s="61"/>
      <c r="C206" s="61"/>
      <c r="D206" s="61"/>
    </row>
    <row r="207" spans="1:4" ht="15.75" x14ac:dyDescent="0.25">
      <c r="A207" s="51"/>
      <c r="B207" s="61"/>
      <c r="C207" s="61"/>
      <c r="D207" s="61"/>
    </row>
    <row r="208" spans="1:4" ht="15.75" x14ac:dyDescent="0.25">
      <c r="A208" s="51"/>
      <c r="B208" s="61"/>
      <c r="C208" s="61"/>
      <c r="D208" s="61"/>
    </row>
    <row r="209" spans="1:4" ht="15.75" x14ac:dyDescent="0.25">
      <c r="A209" s="51"/>
      <c r="B209" s="61"/>
      <c r="C209" s="61"/>
      <c r="D209" s="61"/>
    </row>
    <row r="210" spans="1:4" ht="15.75" x14ac:dyDescent="0.25">
      <c r="A210" s="51"/>
      <c r="B210" s="61"/>
      <c r="C210" s="61"/>
      <c r="D210" s="61"/>
    </row>
    <row r="211" spans="1:4" ht="15.75" x14ac:dyDescent="0.25">
      <c r="A211" s="51"/>
      <c r="B211" s="61"/>
      <c r="C211" s="61"/>
      <c r="D211" s="61"/>
    </row>
    <row r="212" spans="1:4" ht="15.75" x14ac:dyDescent="0.25">
      <c r="A212" s="51"/>
      <c r="B212" s="61"/>
      <c r="C212" s="61"/>
      <c r="D212" s="61"/>
    </row>
    <row r="213" spans="1:4" ht="15.75" x14ac:dyDescent="0.25">
      <c r="A213" s="51"/>
      <c r="B213" s="61"/>
      <c r="C213" s="61"/>
      <c r="D213" s="61"/>
    </row>
    <row r="214" spans="1:4" ht="15.75" x14ac:dyDescent="0.25">
      <c r="A214" s="51"/>
      <c r="B214" s="61"/>
      <c r="C214" s="61"/>
      <c r="D214" s="61"/>
    </row>
    <row r="215" spans="1:4" ht="15.75" x14ac:dyDescent="0.25">
      <c r="A215" s="51"/>
      <c r="B215" s="61"/>
      <c r="C215" s="61"/>
      <c r="D215" s="61"/>
    </row>
    <row r="216" spans="1:4" ht="15.75" x14ac:dyDescent="0.25">
      <c r="A216" s="51"/>
      <c r="B216" s="61"/>
      <c r="C216" s="61"/>
      <c r="D216" s="61"/>
    </row>
    <row r="217" spans="1:4" ht="15.75" x14ac:dyDescent="0.25">
      <c r="A217" s="51"/>
      <c r="B217" s="61"/>
      <c r="C217" s="61"/>
      <c r="D217" s="61"/>
    </row>
    <row r="218" spans="1:4" ht="15.75" x14ac:dyDescent="0.25">
      <c r="A218" s="51"/>
      <c r="B218" s="61"/>
      <c r="C218" s="61"/>
      <c r="D218" s="61"/>
    </row>
    <row r="219" spans="1:4" ht="15.75" x14ac:dyDescent="0.25">
      <c r="A219" s="51"/>
      <c r="B219" s="61"/>
      <c r="C219" s="61"/>
      <c r="D219" s="61"/>
    </row>
    <row r="220" spans="1:4" ht="15.75" x14ac:dyDescent="0.25">
      <c r="A220" s="51"/>
      <c r="B220" s="61"/>
      <c r="C220" s="61"/>
      <c r="D220" s="61"/>
    </row>
    <row r="221" spans="1:4" ht="15.75" x14ac:dyDescent="0.25">
      <c r="A221" s="51"/>
      <c r="B221" s="61"/>
      <c r="C221" s="61"/>
      <c r="D221" s="61"/>
    </row>
    <row r="222" spans="1:4" ht="15.75" x14ac:dyDescent="0.25">
      <c r="A222" s="51"/>
      <c r="B222" s="61"/>
      <c r="C222" s="61"/>
      <c r="D222" s="61"/>
    </row>
    <row r="223" spans="1:4" ht="15.75" x14ac:dyDescent="0.25">
      <c r="A223" s="51"/>
      <c r="B223" s="61"/>
      <c r="C223" s="61"/>
      <c r="D223" s="61"/>
    </row>
    <row r="224" spans="1:4" ht="15.75" x14ac:dyDescent="0.25">
      <c r="A224" s="51"/>
      <c r="B224" s="61"/>
      <c r="C224" s="61"/>
      <c r="D224" s="61"/>
    </row>
    <row r="225" spans="1:4" ht="15.75" x14ac:dyDescent="0.25">
      <c r="A225" s="51"/>
      <c r="B225" s="61"/>
      <c r="C225" s="61"/>
      <c r="D225" s="61"/>
    </row>
    <row r="226" spans="1:4" ht="15.75" x14ac:dyDescent="0.25">
      <c r="A226" s="51"/>
      <c r="B226" s="61"/>
      <c r="C226" s="61"/>
      <c r="D226" s="61"/>
    </row>
    <row r="227" spans="1:4" ht="15.75" x14ac:dyDescent="0.25">
      <c r="A227" s="51"/>
      <c r="B227" s="61"/>
      <c r="C227" s="61"/>
      <c r="D227" s="61"/>
    </row>
    <row r="228" spans="1:4" ht="15.75" x14ac:dyDescent="0.25">
      <c r="A228" s="51"/>
      <c r="B228" s="61"/>
      <c r="C228" s="61"/>
      <c r="D228" s="61"/>
    </row>
    <row r="229" spans="1:4" ht="15.75" x14ac:dyDescent="0.25">
      <c r="A229" s="51"/>
      <c r="B229" s="61"/>
      <c r="C229" s="61"/>
      <c r="D229" s="61"/>
    </row>
    <row r="230" spans="1:4" ht="15.75" x14ac:dyDescent="0.25">
      <c r="A230" s="51"/>
      <c r="B230" s="61"/>
      <c r="C230" s="61"/>
      <c r="D230" s="61"/>
    </row>
    <row r="231" spans="1:4" ht="15.75" x14ac:dyDescent="0.25">
      <c r="A231" s="51"/>
      <c r="B231" s="61"/>
      <c r="C231" s="61"/>
      <c r="D231" s="61"/>
    </row>
    <row r="232" spans="1:4" ht="15.75" x14ac:dyDescent="0.25">
      <c r="A232" s="51"/>
      <c r="B232" s="61"/>
      <c r="C232" s="61"/>
      <c r="D232" s="61"/>
    </row>
    <row r="233" spans="1:4" ht="15.75" x14ac:dyDescent="0.25">
      <c r="A233" s="51"/>
      <c r="B233" s="61"/>
      <c r="C233" s="61"/>
      <c r="D233" s="61"/>
    </row>
    <row r="234" spans="1:4" ht="15.75" x14ac:dyDescent="0.25">
      <c r="A234" s="51"/>
      <c r="B234" s="61"/>
      <c r="C234" s="61"/>
      <c r="D234" s="61"/>
    </row>
    <row r="235" spans="1:4" ht="15.75" x14ac:dyDescent="0.25">
      <c r="A235" s="51"/>
      <c r="B235" s="61"/>
      <c r="C235" s="61"/>
      <c r="D235" s="61"/>
    </row>
    <row r="236" spans="1:4" ht="15.75" x14ac:dyDescent="0.25">
      <c r="A236" s="51"/>
      <c r="B236" s="61"/>
      <c r="C236" s="61"/>
      <c r="D236" s="61"/>
    </row>
    <row r="237" spans="1:4" ht="15.75" x14ac:dyDescent="0.25">
      <c r="A237" s="51"/>
      <c r="B237" s="61"/>
      <c r="C237" s="61"/>
      <c r="D237" s="61"/>
    </row>
    <row r="238" spans="1:4" ht="15.75" x14ac:dyDescent="0.25">
      <c r="A238" s="51"/>
      <c r="B238" s="61"/>
      <c r="C238" s="61"/>
      <c r="D238" s="61"/>
    </row>
    <row r="239" spans="1:4" ht="15.75" x14ac:dyDescent="0.25">
      <c r="A239" s="51"/>
      <c r="B239" s="61"/>
      <c r="C239" s="61"/>
      <c r="D239" s="61"/>
    </row>
    <row r="240" spans="1:4" ht="15.75" x14ac:dyDescent="0.25">
      <c r="A240" s="51"/>
      <c r="B240" s="61"/>
      <c r="C240" s="61"/>
      <c r="D240" s="61"/>
    </row>
    <row r="241" spans="1:4" ht="15.75" x14ac:dyDescent="0.25">
      <c r="A241" s="51"/>
      <c r="B241" s="61"/>
      <c r="C241" s="61"/>
      <c r="D241" s="61"/>
    </row>
    <row r="242" spans="1:4" ht="15.75" x14ac:dyDescent="0.25">
      <c r="A242" s="51"/>
      <c r="B242" s="61"/>
      <c r="C242" s="61"/>
      <c r="D242" s="61"/>
    </row>
    <row r="243" spans="1:4" ht="15.75" x14ac:dyDescent="0.25">
      <c r="A243" s="51"/>
      <c r="B243" s="61"/>
      <c r="C243" s="61"/>
      <c r="D243" s="61"/>
    </row>
    <row r="244" spans="1:4" ht="15.75" x14ac:dyDescent="0.25">
      <c r="A244" s="51"/>
      <c r="B244" s="61"/>
      <c r="C244" s="61"/>
      <c r="D244" s="61"/>
    </row>
    <row r="245" spans="1:4" ht="15.75" x14ac:dyDescent="0.25">
      <c r="A245" s="51"/>
      <c r="B245" s="61"/>
      <c r="C245" s="61"/>
      <c r="D245" s="61"/>
    </row>
    <row r="246" spans="1:4" ht="15.75" x14ac:dyDescent="0.25">
      <c r="A246" s="51"/>
      <c r="B246" s="61"/>
      <c r="C246" s="61"/>
      <c r="D246" s="61"/>
    </row>
    <row r="247" spans="1:4" ht="15.75" x14ac:dyDescent="0.25">
      <c r="A247" s="51"/>
      <c r="B247" s="61"/>
      <c r="C247" s="61"/>
      <c r="D247" s="61"/>
    </row>
    <row r="248" spans="1:4" ht="15.75" x14ac:dyDescent="0.25">
      <c r="A248" s="51"/>
      <c r="B248" s="61"/>
      <c r="C248" s="61"/>
      <c r="D248" s="61"/>
    </row>
    <row r="249" spans="1:4" ht="15.75" x14ac:dyDescent="0.25">
      <c r="A249" s="51"/>
      <c r="B249" s="61"/>
      <c r="C249" s="61"/>
      <c r="D249" s="61"/>
    </row>
    <row r="250" spans="1:4" ht="15.75" x14ac:dyDescent="0.25">
      <c r="A250" s="51"/>
      <c r="B250" s="61"/>
      <c r="C250" s="61"/>
      <c r="D250" s="61"/>
    </row>
    <row r="251" spans="1:4" ht="15.75" x14ac:dyDescent="0.25">
      <c r="A251" s="51"/>
      <c r="B251" s="61"/>
      <c r="C251" s="61"/>
      <c r="D251" s="61"/>
    </row>
    <row r="252" spans="1:4" ht="15.75" x14ac:dyDescent="0.25">
      <c r="A252" s="51"/>
      <c r="B252" s="61"/>
      <c r="C252" s="61"/>
      <c r="D252" s="61"/>
    </row>
    <row r="253" spans="1:4" ht="15.75" x14ac:dyDescent="0.25">
      <c r="A253" s="51"/>
      <c r="B253" s="61"/>
      <c r="C253" s="61"/>
      <c r="D253" s="61"/>
    </row>
    <row r="254" spans="1:4" ht="15.75" x14ac:dyDescent="0.25">
      <c r="A254" s="51"/>
      <c r="B254" s="61"/>
      <c r="C254" s="61"/>
      <c r="D254" s="61"/>
    </row>
    <row r="255" spans="1:4" ht="15.75" x14ac:dyDescent="0.25">
      <c r="A255" s="51"/>
      <c r="B255" s="61"/>
      <c r="C255" s="61"/>
      <c r="D255" s="61"/>
    </row>
    <row r="256" spans="1:4" ht="15.75" x14ac:dyDescent="0.25">
      <c r="A256" s="51"/>
      <c r="B256" s="61"/>
      <c r="C256" s="61"/>
      <c r="D256" s="61"/>
    </row>
    <row r="257" spans="1:4" ht="15.75" x14ac:dyDescent="0.25">
      <c r="A257" s="51"/>
      <c r="B257" s="61"/>
      <c r="C257" s="61"/>
      <c r="D257" s="61"/>
    </row>
    <row r="258" spans="1:4" ht="15.75" x14ac:dyDescent="0.25">
      <c r="A258" s="51"/>
      <c r="B258" s="61"/>
      <c r="C258" s="61"/>
      <c r="D258" s="61"/>
    </row>
    <row r="259" spans="1:4" ht="15.75" x14ac:dyDescent="0.25">
      <c r="A259" s="51"/>
      <c r="B259" s="61"/>
      <c r="C259" s="61"/>
      <c r="D259" s="61"/>
    </row>
    <row r="260" spans="1:4" ht="15.75" x14ac:dyDescent="0.25">
      <c r="A260" s="51"/>
      <c r="B260" s="61"/>
      <c r="C260" s="61"/>
      <c r="D260" s="61"/>
    </row>
    <row r="261" spans="1:4" ht="15.75" x14ac:dyDescent="0.25">
      <c r="A261" s="51"/>
      <c r="B261" s="61"/>
      <c r="C261" s="61"/>
      <c r="D261" s="61"/>
    </row>
    <row r="262" spans="1:4" ht="15.75" x14ac:dyDescent="0.25">
      <c r="A262" s="51"/>
      <c r="B262" s="61"/>
      <c r="C262" s="61"/>
      <c r="D262" s="61"/>
    </row>
    <row r="263" spans="1:4" ht="15.75" x14ac:dyDescent="0.25">
      <c r="A263" s="51"/>
      <c r="B263" s="61"/>
      <c r="C263" s="61"/>
      <c r="D263" s="61"/>
    </row>
    <row r="264" spans="1:4" ht="15.75" x14ac:dyDescent="0.25">
      <c r="A264" s="51"/>
    </row>
    <row r="265" spans="1:4" ht="15.75" x14ac:dyDescent="0.25">
      <c r="A265" s="51"/>
    </row>
    <row r="266" spans="1:4" ht="15.75" x14ac:dyDescent="0.25">
      <c r="A266" s="51"/>
    </row>
    <row r="267" spans="1:4" ht="15.75" x14ac:dyDescent="0.25">
      <c r="A267" s="51"/>
    </row>
    <row r="268" spans="1:4" ht="15.75" x14ac:dyDescent="0.25">
      <c r="A268" s="51"/>
    </row>
    <row r="269" spans="1:4" ht="15.75" x14ac:dyDescent="0.25">
      <c r="A269" s="51"/>
    </row>
    <row r="270" spans="1:4" ht="15.75" x14ac:dyDescent="0.25">
      <c r="A270" s="51"/>
    </row>
    <row r="271" spans="1:4" ht="15.75" x14ac:dyDescent="0.25">
      <c r="A271" s="51"/>
    </row>
    <row r="272" spans="1:4" ht="15.75" x14ac:dyDescent="0.25">
      <c r="A272" s="51"/>
    </row>
    <row r="273" spans="1:1" ht="15.75" x14ac:dyDescent="0.25">
      <c r="A273" s="51"/>
    </row>
    <row r="274" spans="1:1" ht="15.75" x14ac:dyDescent="0.25">
      <c r="A274" s="51"/>
    </row>
    <row r="275" spans="1:1" ht="15.75" x14ac:dyDescent="0.25">
      <c r="A275" s="51"/>
    </row>
    <row r="276" spans="1:1" ht="15.75" x14ac:dyDescent="0.25">
      <c r="A276" s="51"/>
    </row>
    <row r="277" spans="1:1" ht="15.75" x14ac:dyDescent="0.25">
      <c r="A277" s="51"/>
    </row>
    <row r="278" spans="1:1" ht="15.75" x14ac:dyDescent="0.25">
      <c r="A278" s="51"/>
    </row>
    <row r="279" spans="1:1" ht="15.75" x14ac:dyDescent="0.25">
      <c r="A279" s="51"/>
    </row>
    <row r="280" spans="1:1" ht="15.75" x14ac:dyDescent="0.25">
      <c r="A280" s="51"/>
    </row>
    <row r="281" spans="1:1" ht="15.75" x14ac:dyDescent="0.25">
      <c r="A281" s="51"/>
    </row>
    <row r="282" spans="1:1" ht="15.75" x14ac:dyDescent="0.25">
      <c r="A282" s="51"/>
    </row>
    <row r="283" spans="1:1" ht="15.75" x14ac:dyDescent="0.25">
      <c r="A283" s="51"/>
    </row>
    <row r="284" spans="1:1" ht="15.75" x14ac:dyDescent="0.25">
      <c r="A284" s="51"/>
    </row>
    <row r="285" spans="1:1" ht="15.75" x14ac:dyDescent="0.25">
      <c r="A285" s="51"/>
    </row>
    <row r="286" spans="1:1" ht="15.75" x14ac:dyDescent="0.25">
      <c r="A286" s="51"/>
    </row>
    <row r="287" spans="1:1" ht="15.75" x14ac:dyDescent="0.25">
      <c r="A287" s="51"/>
    </row>
    <row r="288" spans="1:1" ht="15.75" x14ac:dyDescent="0.25">
      <c r="A288" s="51"/>
    </row>
    <row r="289" spans="1:1" ht="15.75" x14ac:dyDescent="0.25">
      <c r="A289" s="51"/>
    </row>
    <row r="290" spans="1:1" ht="15.75" x14ac:dyDescent="0.25">
      <c r="A290" s="51"/>
    </row>
    <row r="291" spans="1:1" ht="15.75" x14ac:dyDescent="0.25">
      <c r="A291" s="51"/>
    </row>
    <row r="292" spans="1:1" ht="15.75" x14ac:dyDescent="0.25">
      <c r="A292" s="51"/>
    </row>
    <row r="293" spans="1:1" ht="15.75" x14ac:dyDescent="0.25">
      <c r="A293" s="51"/>
    </row>
    <row r="294" spans="1:1" ht="15.75" x14ac:dyDescent="0.25">
      <c r="A294" s="51"/>
    </row>
    <row r="295" spans="1:1" ht="15.75" x14ac:dyDescent="0.25">
      <c r="A295" s="51"/>
    </row>
    <row r="296" spans="1:1" ht="15.75" x14ac:dyDescent="0.25">
      <c r="A296" s="51"/>
    </row>
    <row r="297" spans="1:1" ht="15.75" x14ac:dyDescent="0.25">
      <c r="A297" s="51"/>
    </row>
    <row r="298" spans="1:1" ht="15.75" x14ac:dyDescent="0.25">
      <c r="A298" s="51"/>
    </row>
    <row r="299" spans="1:1" ht="15.75" x14ac:dyDescent="0.25">
      <c r="A299" s="51"/>
    </row>
    <row r="300" spans="1:1" ht="15.75" x14ac:dyDescent="0.25">
      <c r="A300" s="51"/>
    </row>
    <row r="301" spans="1:1" ht="15.75" x14ac:dyDescent="0.25">
      <c r="A301" s="51"/>
    </row>
    <row r="302" spans="1:1" ht="15.75" x14ac:dyDescent="0.25">
      <c r="A302" s="51"/>
    </row>
    <row r="303" spans="1:1" ht="15.75" x14ac:dyDescent="0.25">
      <c r="A303" s="51"/>
    </row>
    <row r="304" spans="1:1" ht="15.75" x14ac:dyDescent="0.25">
      <c r="A304" s="51"/>
    </row>
    <row r="305" spans="1:1" ht="15.75" x14ac:dyDescent="0.25">
      <c r="A305" s="51"/>
    </row>
    <row r="306" spans="1:1" ht="15.75" x14ac:dyDescent="0.25">
      <c r="A306" s="51"/>
    </row>
    <row r="307" spans="1:1" ht="15.75" x14ac:dyDescent="0.25">
      <c r="A307" s="51"/>
    </row>
    <row r="308" spans="1:1" ht="15.75" x14ac:dyDescent="0.25">
      <c r="A308" s="51"/>
    </row>
    <row r="309" spans="1:1" ht="15.75" x14ac:dyDescent="0.25">
      <c r="A309" s="51"/>
    </row>
    <row r="310" spans="1:1" ht="15.75" x14ac:dyDescent="0.25">
      <c r="A310" s="51"/>
    </row>
    <row r="311" spans="1:1" ht="15.75" x14ac:dyDescent="0.25">
      <c r="A311" s="51"/>
    </row>
    <row r="312" spans="1:1" ht="15.75" x14ac:dyDescent="0.25">
      <c r="A312" s="51"/>
    </row>
    <row r="313" spans="1:1" ht="15.75" x14ac:dyDescent="0.25">
      <c r="A313" s="51"/>
    </row>
    <row r="314" spans="1:1" ht="15.75" x14ac:dyDescent="0.25">
      <c r="A314" s="51"/>
    </row>
    <row r="315" spans="1:1" ht="15.75" x14ac:dyDescent="0.25">
      <c r="A315" s="51"/>
    </row>
    <row r="316" spans="1:1" ht="15.75" x14ac:dyDescent="0.25">
      <c r="A316" s="51"/>
    </row>
    <row r="317" spans="1:1" ht="15.75" x14ac:dyDescent="0.25">
      <c r="A317" s="51"/>
    </row>
    <row r="318" spans="1:1" ht="15.75" x14ac:dyDescent="0.25">
      <c r="A318" s="51"/>
    </row>
  </sheetData>
  <phoneticPr fontId="4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A9F95-F0A5-4E77-BF88-117CC331D161}">
  <dimension ref="A1:G18"/>
  <sheetViews>
    <sheetView workbookViewId="0"/>
  </sheetViews>
  <sheetFormatPr defaultRowHeight="15" x14ac:dyDescent="0.25"/>
  <cols>
    <col min="3" max="3" width="35.7109375" customWidth="1"/>
    <col min="4" max="4" width="9.42578125" customWidth="1"/>
    <col min="6" max="6" width="11.28515625" customWidth="1"/>
    <col min="7" max="7" width="10.7109375" customWidth="1"/>
    <col min="9" max="9" width="9.140625" customWidth="1"/>
  </cols>
  <sheetData>
    <row r="1" spans="1:7" s="2" customFormat="1" ht="27.75" customHeight="1" thickBot="1" x14ac:dyDescent="0.3">
      <c r="A1" s="2" t="s">
        <v>4</v>
      </c>
      <c r="C1" s="3" t="s">
        <v>0</v>
      </c>
      <c r="D1" s="4" t="s">
        <v>1</v>
      </c>
      <c r="E1" s="4" t="s">
        <v>2</v>
      </c>
      <c r="F1" s="4" t="s">
        <v>3</v>
      </c>
      <c r="G1" s="4" t="s">
        <v>25</v>
      </c>
    </row>
    <row r="2" spans="1:7" ht="15.75" thickTop="1" x14ac:dyDescent="0.25"/>
    <row r="3" spans="1:7" s="1" customFormat="1" ht="21.75" thickBot="1" x14ac:dyDescent="0.4">
      <c r="C3" s="1" t="s">
        <v>49</v>
      </c>
    </row>
    <row r="4" spans="1:7" ht="15.75" thickTop="1" x14ac:dyDescent="0.25">
      <c r="C4" t="s">
        <v>50</v>
      </c>
      <c r="D4">
        <v>1</v>
      </c>
      <c r="F4">
        <v>133451</v>
      </c>
    </row>
    <row r="6" spans="1:7" x14ac:dyDescent="0.25">
      <c r="B6" t="s">
        <v>42</v>
      </c>
      <c r="C6" t="s">
        <v>43</v>
      </c>
      <c r="D6">
        <v>20</v>
      </c>
      <c r="E6">
        <v>395</v>
      </c>
      <c r="F6">
        <f>D6*E6</f>
        <v>7900</v>
      </c>
    </row>
    <row r="7" spans="1:7" x14ac:dyDescent="0.25">
      <c r="C7" t="s">
        <v>44</v>
      </c>
      <c r="D7">
        <v>1</v>
      </c>
      <c r="E7">
        <v>3550</v>
      </c>
      <c r="F7">
        <f>D7*E7</f>
        <v>3550</v>
      </c>
    </row>
    <row r="8" spans="1:7" x14ac:dyDescent="0.25">
      <c r="B8" t="s">
        <v>45</v>
      </c>
      <c r="C8" t="s">
        <v>46</v>
      </c>
      <c r="D8">
        <v>1</v>
      </c>
      <c r="E8">
        <v>213</v>
      </c>
      <c r="F8">
        <f>D8*E8</f>
        <v>213</v>
      </c>
    </row>
    <row r="9" spans="1:7" x14ac:dyDescent="0.25">
      <c r="C9" t="s">
        <v>47</v>
      </c>
      <c r="D9">
        <v>7</v>
      </c>
      <c r="E9">
        <v>2714</v>
      </c>
      <c r="F9">
        <f>D9*E9</f>
        <v>18998</v>
      </c>
    </row>
    <row r="10" spans="1:7" x14ac:dyDescent="0.25">
      <c r="C10" t="s">
        <v>48</v>
      </c>
      <c r="D10">
        <v>1</v>
      </c>
      <c r="E10">
        <v>5300</v>
      </c>
      <c r="F10">
        <f>D10*E10</f>
        <v>5300</v>
      </c>
    </row>
    <row r="12" spans="1:7" x14ac:dyDescent="0.25">
      <c r="C12" t="s">
        <v>67</v>
      </c>
      <c r="D12">
        <v>11</v>
      </c>
      <c r="E12">
        <v>1000</v>
      </c>
      <c r="F12">
        <f>D12*E12</f>
        <v>11000</v>
      </c>
    </row>
    <row r="13" spans="1:7" x14ac:dyDescent="0.25">
      <c r="F13">
        <f>SUM(F4:F12)</f>
        <v>180412</v>
      </c>
    </row>
    <row r="14" spans="1:7" s="1" customFormat="1" ht="21.75" thickBot="1" x14ac:dyDescent="0.4">
      <c r="C14" s="1" t="s">
        <v>117</v>
      </c>
    </row>
    <row r="15" spans="1:7" ht="15.75" thickTop="1" x14ac:dyDescent="0.25">
      <c r="C15" s="6" t="s">
        <v>116</v>
      </c>
      <c r="D15">
        <v>250</v>
      </c>
      <c r="E15">
        <v>9.5</v>
      </c>
      <c r="F15">
        <f>D15*E15</f>
        <v>2375</v>
      </c>
    </row>
    <row r="17" spans="3:5" s="1" customFormat="1" ht="21.75" thickBot="1" x14ac:dyDescent="0.4">
      <c r="C17" s="1" t="s">
        <v>230</v>
      </c>
    </row>
    <row r="18" spans="3:5" ht="15.75" thickTop="1" x14ac:dyDescent="0.25">
      <c r="C18" t="s">
        <v>231</v>
      </c>
      <c r="D18">
        <v>1</v>
      </c>
      <c r="E18">
        <v>5935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529C4-325B-4F5F-86F6-ABD1D40BE9CA}">
  <dimension ref="A1:H36"/>
  <sheetViews>
    <sheetView workbookViewId="0"/>
  </sheetViews>
  <sheetFormatPr defaultRowHeight="21" x14ac:dyDescent="0.35"/>
  <cols>
    <col min="1" max="1" width="9.140625" style="65"/>
    <col min="2" max="2" width="32.28515625" style="69" customWidth="1"/>
    <col min="3" max="3" width="13.7109375" style="65" customWidth="1"/>
    <col min="4" max="4" width="16.85546875" style="65" customWidth="1"/>
    <col min="5" max="5" width="19.7109375" style="65" customWidth="1"/>
    <col min="6" max="6" width="16.5703125" style="69" customWidth="1"/>
    <col min="7" max="7" width="18.42578125" style="65" customWidth="1"/>
    <col min="9" max="16384" width="9.140625" style="65"/>
  </cols>
  <sheetData>
    <row r="1" spans="1:8" s="67" customFormat="1" ht="51.75" customHeight="1" thickBot="1" x14ac:dyDescent="0.3">
      <c r="B1" s="68" t="s">
        <v>351</v>
      </c>
      <c r="C1" s="66" t="s">
        <v>355</v>
      </c>
      <c r="D1" s="66" t="s">
        <v>360</v>
      </c>
      <c r="E1" s="66" t="s">
        <v>356</v>
      </c>
      <c r="F1" s="71" t="s">
        <v>357</v>
      </c>
      <c r="G1" s="67" t="s">
        <v>353</v>
      </c>
    </row>
    <row r="2" spans="1:8" ht="21.75" thickTop="1" x14ac:dyDescent="0.35">
      <c r="H2" s="65"/>
    </row>
    <row r="3" spans="1:8" s="50" customFormat="1" ht="21.75" thickBot="1" x14ac:dyDescent="0.4">
      <c r="B3" s="70" t="s">
        <v>72</v>
      </c>
      <c r="F3" s="70"/>
    </row>
    <row r="4" spans="1:8" ht="21.75" thickTop="1" x14ac:dyDescent="0.35">
      <c r="A4" s="65" t="s">
        <v>354</v>
      </c>
      <c r="B4" s="69" t="s">
        <v>352</v>
      </c>
      <c r="F4" s="69">
        <v>16000</v>
      </c>
      <c r="H4" s="65"/>
    </row>
    <row r="5" spans="1:8" x14ac:dyDescent="0.35">
      <c r="A5" s="65" t="s">
        <v>359</v>
      </c>
      <c r="B5" s="69" t="s">
        <v>358</v>
      </c>
      <c r="C5" s="65">
        <v>16000</v>
      </c>
      <c r="D5" s="65">
        <v>1550</v>
      </c>
      <c r="E5" s="65">
        <f>D4+D5</f>
        <v>1550</v>
      </c>
      <c r="F5" s="69">
        <f>F4-E5</f>
        <v>14450</v>
      </c>
      <c r="H5" s="65"/>
    </row>
    <row r="6" spans="1:8" x14ac:dyDescent="0.35">
      <c r="H6" s="65"/>
    </row>
    <row r="7" spans="1:8" x14ac:dyDescent="0.35">
      <c r="H7" s="65"/>
    </row>
    <row r="8" spans="1:8" x14ac:dyDescent="0.35">
      <c r="H8" s="65"/>
    </row>
    <row r="9" spans="1:8" x14ac:dyDescent="0.35">
      <c r="H9" s="65"/>
    </row>
    <row r="10" spans="1:8" x14ac:dyDescent="0.35">
      <c r="H10" s="65"/>
    </row>
    <row r="11" spans="1:8" x14ac:dyDescent="0.35">
      <c r="H11" s="65"/>
    </row>
    <row r="12" spans="1:8" x14ac:dyDescent="0.35">
      <c r="H12" s="65"/>
    </row>
    <row r="13" spans="1:8" x14ac:dyDescent="0.35">
      <c r="H13" s="65"/>
    </row>
    <row r="14" spans="1:8" x14ac:dyDescent="0.35">
      <c r="H14" s="65"/>
    </row>
    <row r="15" spans="1:8" x14ac:dyDescent="0.35">
      <c r="H15" s="65"/>
    </row>
    <row r="16" spans="1:8" x14ac:dyDescent="0.35">
      <c r="H16" s="65"/>
    </row>
    <row r="17" spans="8:8" x14ac:dyDescent="0.35">
      <c r="H17" s="65"/>
    </row>
    <row r="18" spans="8:8" x14ac:dyDescent="0.35">
      <c r="H18" s="65"/>
    </row>
    <row r="19" spans="8:8" x14ac:dyDescent="0.35">
      <c r="H19" s="65"/>
    </row>
    <row r="20" spans="8:8" x14ac:dyDescent="0.35">
      <c r="H20" s="65"/>
    </row>
    <row r="21" spans="8:8" x14ac:dyDescent="0.35">
      <c r="H21" s="65"/>
    </row>
    <row r="22" spans="8:8" x14ac:dyDescent="0.35">
      <c r="H22" s="65"/>
    </row>
    <row r="23" spans="8:8" x14ac:dyDescent="0.35">
      <c r="H23" s="65"/>
    </row>
    <row r="24" spans="8:8" x14ac:dyDescent="0.35">
      <c r="H24" s="65"/>
    </row>
    <row r="25" spans="8:8" x14ac:dyDescent="0.35">
      <c r="H25" s="65"/>
    </row>
    <row r="26" spans="8:8" x14ac:dyDescent="0.35">
      <c r="H26" s="65"/>
    </row>
    <row r="27" spans="8:8" x14ac:dyDescent="0.35">
      <c r="H27" s="65"/>
    </row>
    <row r="28" spans="8:8" x14ac:dyDescent="0.35">
      <c r="H28" s="65"/>
    </row>
    <row r="29" spans="8:8" x14ac:dyDescent="0.35">
      <c r="H29" s="65"/>
    </row>
    <row r="30" spans="8:8" x14ac:dyDescent="0.35">
      <c r="H30" s="65"/>
    </row>
    <row r="31" spans="8:8" x14ac:dyDescent="0.35">
      <c r="H31" s="65"/>
    </row>
    <row r="32" spans="8:8" x14ac:dyDescent="0.35">
      <c r="H32" s="65"/>
    </row>
    <row r="33" spans="8:8" x14ac:dyDescent="0.35">
      <c r="H33" s="65"/>
    </row>
    <row r="34" spans="8:8" x14ac:dyDescent="0.35">
      <c r="H34" s="65"/>
    </row>
    <row r="35" spans="8:8" x14ac:dyDescent="0.35">
      <c r="H35" s="65"/>
    </row>
    <row r="36" spans="8:8" x14ac:dyDescent="0.35">
      <c r="H36" s="6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6E1-C666-4512-8FCE-93F1037909CA}">
  <dimension ref="A1:J686"/>
  <sheetViews>
    <sheetView tabSelected="1" topLeftCell="A267" zoomScale="70" zoomScaleNormal="70" workbookViewId="0">
      <selection activeCell="M275" sqref="M275"/>
    </sheetView>
  </sheetViews>
  <sheetFormatPr defaultRowHeight="15" x14ac:dyDescent="0.25"/>
  <cols>
    <col min="1" max="1" width="4.42578125" style="11" bestFit="1" customWidth="1"/>
    <col min="2" max="2" width="3.7109375" style="11" customWidth="1"/>
    <col min="3" max="3" width="40.7109375" style="130" bestFit="1" customWidth="1"/>
    <col min="4" max="4" width="8.5703125" style="11" customWidth="1"/>
    <col min="5" max="5" width="10.140625" style="11" customWidth="1"/>
    <col min="6" max="6" width="13" style="11" customWidth="1"/>
    <col min="7" max="7" width="15.140625" style="11" customWidth="1"/>
    <col min="8" max="8" width="12.42578125" style="11" customWidth="1"/>
    <col min="9" max="9" width="9.140625" style="11"/>
    <col min="10" max="10" width="11.7109375" style="11" customWidth="1"/>
    <col min="11" max="16384" width="9.140625" style="11"/>
  </cols>
  <sheetData>
    <row r="1" spans="1:7" s="7" customFormat="1" ht="21" thickBot="1" x14ac:dyDescent="0.3">
      <c r="A1" s="7" t="s">
        <v>4</v>
      </c>
      <c r="C1" s="122" t="s">
        <v>0</v>
      </c>
      <c r="D1" s="8" t="s">
        <v>1</v>
      </c>
      <c r="E1" s="8" t="s">
        <v>2</v>
      </c>
      <c r="F1" s="8" t="s">
        <v>3</v>
      </c>
      <c r="G1" s="8" t="s">
        <v>25</v>
      </c>
    </row>
    <row r="2" spans="1:7" s="9" customFormat="1" ht="21.75" thickTop="1" thickBot="1" x14ac:dyDescent="0.35">
      <c r="C2" s="123" t="s">
        <v>52</v>
      </c>
      <c r="D2" s="10"/>
      <c r="E2" s="10"/>
      <c r="F2" s="10"/>
      <c r="G2" s="10"/>
    </row>
    <row r="3" spans="1:7" ht="20.25" thickTop="1" thickBot="1" x14ac:dyDescent="0.3">
      <c r="C3" s="124" t="s">
        <v>53</v>
      </c>
      <c r="D3" s="12"/>
      <c r="E3" s="13"/>
      <c r="F3" s="13"/>
      <c r="G3" s="14"/>
    </row>
    <row r="4" spans="1:7" ht="32.25" thickTop="1" x14ac:dyDescent="0.25">
      <c r="C4" s="125" t="s">
        <v>56</v>
      </c>
      <c r="D4" s="12">
        <v>1</v>
      </c>
      <c r="E4" s="13">
        <v>16955</v>
      </c>
      <c r="F4" s="13">
        <f>E4*D4</f>
        <v>16955</v>
      </c>
      <c r="G4" s="14"/>
    </row>
    <row r="5" spans="1:7" ht="31.5" x14ac:dyDescent="0.25">
      <c r="C5" s="125" t="s">
        <v>57</v>
      </c>
      <c r="D5" s="12">
        <v>6</v>
      </c>
      <c r="E5" s="13">
        <v>6360</v>
      </c>
      <c r="F5" s="13">
        <f>E5*D5</f>
        <v>38160</v>
      </c>
      <c r="G5" s="14"/>
    </row>
    <row r="6" spans="1:7" ht="31.5" x14ac:dyDescent="0.25">
      <c r="C6" s="125" t="s">
        <v>58</v>
      </c>
      <c r="D6" s="12">
        <v>1</v>
      </c>
      <c r="E6" s="13">
        <v>5760</v>
      </c>
      <c r="F6" s="13">
        <f>E6*D6</f>
        <v>5760</v>
      </c>
      <c r="G6" s="14"/>
    </row>
    <row r="7" spans="1:7" ht="31.5" x14ac:dyDescent="0.25">
      <c r="C7" s="125" t="s">
        <v>59</v>
      </c>
      <c r="D7" s="12">
        <v>1</v>
      </c>
      <c r="E7" s="13">
        <v>7260</v>
      </c>
      <c r="F7" s="13">
        <f>E7*D7</f>
        <v>7260</v>
      </c>
      <c r="G7" s="14"/>
    </row>
    <row r="8" spans="1:7" ht="18.75" x14ac:dyDescent="0.25">
      <c r="C8" s="125" t="s">
        <v>60</v>
      </c>
      <c r="D8" s="12">
        <v>2</v>
      </c>
      <c r="E8" s="13">
        <v>7810</v>
      </c>
      <c r="F8" s="13">
        <f>E8*D8</f>
        <v>15620</v>
      </c>
      <c r="G8" s="14"/>
    </row>
    <row r="9" spans="1:7" ht="18.75" x14ac:dyDescent="0.25">
      <c r="C9" s="125"/>
      <c r="D9" s="12"/>
      <c r="E9" s="13"/>
      <c r="F9" s="13"/>
      <c r="G9" s="14">
        <f>SUM(F4:F8)</f>
        <v>83755</v>
      </c>
    </row>
    <row r="10" spans="1:7" ht="19.5" thickBot="1" x14ac:dyDescent="0.3">
      <c r="C10" s="124" t="s">
        <v>54</v>
      </c>
      <c r="D10" s="12"/>
      <c r="E10" s="13"/>
      <c r="F10" s="13"/>
      <c r="G10" s="14"/>
    </row>
    <row r="11" spans="1:7" ht="32.25" thickTop="1" x14ac:dyDescent="0.25">
      <c r="C11" s="125" t="s">
        <v>56</v>
      </c>
      <c r="D11" s="12">
        <v>1</v>
      </c>
      <c r="E11" s="13">
        <v>17100</v>
      </c>
      <c r="F11" s="13">
        <f>E11*D11</f>
        <v>17100</v>
      </c>
      <c r="G11" s="14"/>
    </row>
    <row r="12" spans="1:7" ht="31.5" x14ac:dyDescent="0.25">
      <c r="C12" s="125" t="s">
        <v>57</v>
      </c>
      <c r="D12" s="12">
        <v>6</v>
      </c>
      <c r="E12" s="13">
        <v>6520</v>
      </c>
      <c r="F12" s="13">
        <f>E12*D12</f>
        <v>39120</v>
      </c>
      <c r="G12" s="14" t="s">
        <v>37</v>
      </c>
    </row>
    <row r="13" spans="1:7" ht="31.5" x14ac:dyDescent="0.25">
      <c r="C13" s="125" t="s">
        <v>58</v>
      </c>
      <c r="D13" s="12">
        <v>1</v>
      </c>
      <c r="E13" s="13">
        <v>5852</v>
      </c>
      <c r="F13" s="13">
        <f>E13*D13</f>
        <v>5852</v>
      </c>
      <c r="G13" s="14">
        <f>G16-G9</f>
        <v>1468</v>
      </c>
    </row>
    <row r="14" spans="1:7" ht="31.5" x14ac:dyDescent="0.25">
      <c r="C14" s="125" t="s">
        <v>59</v>
      </c>
      <c r="D14" s="12">
        <v>1</v>
      </c>
      <c r="E14" s="13">
        <v>7311</v>
      </c>
      <c r="F14" s="13">
        <f>E14*D14</f>
        <v>7311</v>
      </c>
      <c r="G14" s="14"/>
    </row>
    <row r="15" spans="1:7" ht="18.75" x14ac:dyDescent="0.25">
      <c r="C15" s="125" t="s">
        <v>60</v>
      </c>
      <c r="D15" s="12">
        <v>2</v>
      </c>
      <c r="E15" s="13">
        <v>7920</v>
      </c>
      <c r="F15" s="13">
        <f>E15*D15</f>
        <v>15840</v>
      </c>
      <c r="G15" s="14"/>
    </row>
    <row r="16" spans="1:7" ht="18.75" x14ac:dyDescent="0.25">
      <c r="C16" s="125"/>
      <c r="D16" s="12"/>
      <c r="E16" s="13"/>
      <c r="F16" s="13"/>
      <c r="G16" s="14">
        <f>SUM(F11:F15)</f>
        <v>85223</v>
      </c>
    </row>
    <row r="17" spans="3:7" ht="19.5" thickBot="1" x14ac:dyDescent="0.3">
      <c r="C17" s="124" t="s">
        <v>55</v>
      </c>
      <c r="D17" s="12"/>
      <c r="E17" s="13"/>
      <c r="F17" s="13"/>
      <c r="G17" s="14"/>
    </row>
    <row r="18" spans="3:7" ht="32.25" thickTop="1" x14ac:dyDescent="0.25">
      <c r="C18" s="125" t="s">
        <v>56</v>
      </c>
      <c r="D18" s="12">
        <v>1</v>
      </c>
      <c r="E18" s="13">
        <v>17500</v>
      </c>
      <c r="F18" s="13">
        <f>E18*D18</f>
        <v>17500</v>
      </c>
      <c r="G18" s="14"/>
    </row>
    <row r="19" spans="3:7" ht="31.5" x14ac:dyDescent="0.25">
      <c r="C19" s="125" t="s">
        <v>57</v>
      </c>
      <c r="D19" s="12">
        <v>6</v>
      </c>
      <c r="E19" s="13">
        <v>6502</v>
      </c>
      <c r="F19" s="13">
        <f>E19*D19</f>
        <v>39012</v>
      </c>
      <c r="G19" s="14" t="s">
        <v>37</v>
      </c>
    </row>
    <row r="20" spans="3:7" ht="31.5" x14ac:dyDescent="0.25">
      <c r="C20" s="125" t="s">
        <v>58</v>
      </c>
      <c r="D20" s="12">
        <v>1</v>
      </c>
      <c r="E20" s="13">
        <v>5985</v>
      </c>
      <c r="F20" s="13">
        <f>E20*D20</f>
        <v>5985</v>
      </c>
      <c r="G20" s="14">
        <f>G23-G16</f>
        <v>1144</v>
      </c>
    </row>
    <row r="21" spans="3:7" ht="31.5" x14ac:dyDescent="0.25">
      <c r="C21" s="125" t="s">
        <v>59</v>
      </c>
      <c r="D21" s="12">
        <v>1</v>
      </c>
      <c r="E21" s="13">
        <v>7460</v>
      </c>
      <c r="F21" s="13">
        <f>E21*D21</f>
        <v>7460</v>
      </c>
      <c r="G21" s="14"/>
    </row>
    <row r="22" spans="3:7" ht="18.75" x14ac:dyDescent="0.25">
      <c r="C22" s="125" t="s">
        <v>60</v>
      </c>
      <c r="D22" s="12">
        <v>2</v>
      </c>
      <c r="E22" s="13">
        <v>8205</v>
      </c>
      <c r="F22" s="13">
        <f>E22*D22</f>
        <v>16410</v>
      </c>
      <c r="G22" s="14"/>
    </row>
    <row r="23" spans="3:7" ht="18.75" x14ac:dyDescent="0.25">
      <c r="C23" s="125"/>
      <c r="D23" s="12"/>
      <c r="E23" s="13"/>
      <c r="F23" s="13"/>
      <c r="G23" s="14">
        <f>SUM(F18:F22)</f>
        <v>86367</v>
      </c>
    </row>
    <row r="24" spans="3:7" s="44" customFormat="1" ht="18.75" x14ac:dyDescent="0.25">
      <c r="C24" s="125"/>
      <c r="D24" s="45"/>
      <c r="E24" s="46"/>
      <c r="F24" s="46"/>
      <c r="G24" s="47"/>
    </row>
    <row r="25" spans="3:7" s="44" customFormat="1" ht="18.75" x14ac:dyDescent="0.25">
      <c r="C25" s="125"/>
      <c r="D25" s="45"/>
      <c r="E25" s="46"/>
      <c r="F25" s="46"/>
      <c r="G25" s="47"/>
    </row>
    <row r="26" spans="3:7" s="44" customFormat="1" ht="31.5" x14ac:dyDescent="0.25">
      <c r="C26" s="125" t="s">
        <v>443</v>
      </c>
      <c r="D26" s="45">
        <v>1</v>
      </c>
      <c r="E26" s="46">
        <v>6950</v>
      </c>
      <c r="F26" s="46">
        <f>E26*D26</f>
        <v>6950</v>
      </c>
      <c r="G26" s="47"/>
    </row>
    <row r="27" spans="3:7" s="44" customFormat="1" ht="18.75" x14ac:dyDescent="0.25">
      <c r="C27" s="125"/>
      <c r="D27" s="45"/>
      <c r="E27" s="46"/>
      <c r="F27" s="46"/>
      <c r="G27" s="47"/>
    </row>
    <row r="28" spans="3:7" s="44" customFormat="1" ht="31.5" x14ac:dyDescent="0.25">
      <c r="C28" s="125" t="s">
        <v>443</v>
      </c>
      <c r="D28" s="45">
        <v>1</v>
      </c>
      <c r="E28" s="46">
        <v>7560</v>
      </c>
      <c r="F28" s="46">
        <f>E28*D28</f>
        <v>7560</v>
      </c>
      <c r="G28" s="47"/>
    </row>
    <row r="29" spans="3:7" s="44" customFormat="1" ht="18.75" x14ac:dyDescent="0.25">
      <c r="C29" s="125"/>
      <c r="D29" s="45"/>
      <c r="E29" s="46"/>
      <c r="F29" s="46"/>
      <c r="G29" s="47"/>
    </row>
    <row r="30" spans="3:7" s="44" customFormat="1" ht="31.5" x14ac:dyDescent="0.25">
      <c r="C30" s="125" t="s">
        <v>443</v>
      </c>
      <c r="D30" s="45">
        <v>1</v>
      </c>
      <c r="E30" s="46">
        <v>7900</v>
      </c>
      <c r="F30" s="46">
        <f>E30*D30</f>
        <v>7900</v>
      </c>
      <c r="G30" s="47"/>
    </row>
    <row r="31" spans="3:7" s="44" customFormat="1" ht="18.75" x14ac:dyDescent="0.25">
      <c r="C31" s="125"/>
      <c r="D31" s="45"/>
      <c r="E31" s="46"/>
      <c r="F31" s="46"/>
      <c r="G31" s="47"/>
    </row>
    <row r="32" spans="3:7" s="44" customFormat="1" ht="18.75" x14ac:dyDescent="0.25">
      <c r="C32" s="125"/>
      <c r="D32" s="45"/>
      <c r="E32" s="46"/>
      <c r="F32" s="46"/>
      <c r="G32" s="47"/>
    </row>
    <row r="34" spans="3:8" s="17" customFormat="1" ht="20.25" thickBot="1" x14ac:dyDescent="0.35">
      <c r="C34" s="126" t="s">
        <v>20</v>
      </c>
      <c r="D34" s="15"/>
      <c r="E34" s="16"/>
      <c r="F34" s="16"/>
      <c r="G34" s="16"/>
    </row>
    <row r="35" spans="3:8" ht="19.5" thickTop="1" x14ac:dyDescent="0.25">
      <c r="C35" s="125"/>
      <c r="D35" s="18">
        <v>50</v>
      </c>
      <c r="E35" s="18">
        <v>992</v>
      </c>
      <c r="F35" s="18">
        <f>E35*D35</f>
        <v>49600</v>
      </c>
      <c r="G35" s="14"/>
    </row>
    <row r="36" spans="3:8" ht="18.75" x14ac:dyDescent="0.25">
      <c r="C36" s="125"/>
      <c r="D36" s="18">
        <v>150</v>
      </c>
      <c r="E36" s="18">
        <v>992</v>
      </c>
      <c r="F36" s="18">
        <f>E36*D36</f>
        <v>148800</v>
      </c>
      <c r="G36" s="14"/>
    </row>
    <row r="37" spans="3:8" ht="18.75" customHeight="1" x14ac:dyDescent="0.25">
      <c r="C37" s="125"/>
      <c r="D37" s="18">
        <v>125</v>
      </c>
      <c r="E37" s="18">
        <v>992</v>
      </c>
      <c r="F37" s="18">
        <f>E37*D37</f>
        <v>124000</v>
      </c>
      <c r="G37" s="14"/>
    </row>
    <row r="38" spans="3:8" ht="18.75" customHeight="1" x14ac:dyDescent="0.25">
      <c r="C38" s="125"/>
      <c r="D38" s="18">
        <v>150</v>
      </c>
      <c r="E38" s="18">
        <v>992</v>
      </c>
      <c r="F38" s="18">
        <f>E38*D38</f>
        <v>148800</v>
      </c>
      <c r="G38" s="14"/>
    </row>
    <row r="39" spans="3:8" ht="19.5" customHeight="1" x14ac:dyDescent="0.25">
      <c r="C39" s="125"/>
      <c r="D39" s="18">
        <v>25</v>
      </c>
      <c r="E39" s="18">
        <v>992</v>
      </c>
      <c r="F39" s="18">
        <f>E39*D39</f>
        <v>24800</v>
      </c>
      <c r="G39" s="14"/>
    </row>
    <row r="40" spans="3:8" ht="19.5" customHeight="1" x14ac:dyDescent="0.25">
      <c r="C40" s="125"/>
      <c r="D40" s="19"/>
      <c r="E40" s="20"/>
      <c r="F40" s="18"/>
      <c r="G40" s="21">
        <f>SUM(F35:F39)</f>
        <v>496000</v>
      </c>
      <c r="H40" s="11">
        <f>G40+7450</f>
        <v>503450</v>
      </c>
    </row>
    <row r="41" spans="3:8" ht="18.75" x14ac:dyDescent="0.25">
      <c r="C41" s="125"/>
      <c r="D41" s="19"/>
      <c r="E41" s="20"/>
      <c r="F41" s="18"/>
      <c r="G41" s="14"/>
    </row>
    <row r="42" spans="3:8" ht="18.75" customHeight="1" x14ac:dyDescent="0.25">
      <c r="C42" s="125"/>
      <c r="D42" s="18">
        <v>50</v>
      </c>
      <c r="E42" s="18">
        <v>1000</v>
      </c>
      <c r="F42" s="18">
        <f>E42*D42</f>
        <v>50000</v>
      </c>
      <c r="G42" s="14"/>
    </row>
    <row r="43" spans="3:8" ht="18.75" customHeight="1" x14ac:dyDescent="0.25">
      <c r="C43" s="125"/>
      <c r="D43" s="18">
        <v>150</v>
      </c>
      <c r="E43" s="18">
        <v>1000</v>
      </c>
      <c r="F43" s="18">
        <f>E43*D43</f>
        <v>150000</v>
      </c>
      <c r="G43" s="14"/>
      <c r="H43" s="22" t="s">
        <v>37</v>
      </c>
    </row>
    <row r="44" spans="3:8" ht="18.75" customHeight="1" x14ac:dyDescent="0.25">
      <c r="C44" s="125"/>
      <c r="D44" s="18">
        <v>125</v>
      </c>
      <c r="E44" s="18">
        <v>1000</v>
      </c>
      <c r="F44" s="18">
        <f>E44*D44</f>
        <v>125000</v>
      </c>
      <c r="G44" s="14"/>
      <c r="H44" s="22">
        <f>G47-G40</f>
        <v>4000</v>
      </c>
    </row>
    <row r="45" spans="3:8" ht="18.75" customHeight="1" x14ac:dyDescent="0.25">
      <c r="C45" s="125"/>
      <c r="D45" s="18">
        <v>150</v>
      </c>
      <c r="E45" s="18">
        <v>1000</v>
      </c>
      <c r="F45" s="18">
        <f>E45*D45</f>
        <v>150000</v>
      </c>
      <c r="G45" s="14"/>
    </row>
    <row r="46" spans="3:8" ht="18.75" customHeight="1" x14ac:dyDescent="0.25">
      <c r="C46" s="125"/>
      <c r="D46" s="18">
        <v>25</v>
      </c>
      <c r="E46" s="18">
        <v>1000</v>
      </c>
      <c r="F46" s="18">
        <f>E46*D46</f>
        <v>25000</v>
      </c>
      <c r="G46" s="14"/>
    </row>
    <row r="47" spans="3:8" ht="18.75" customHeight="1" x14ac:dyDescent="0.25">
      <c r="C47" s="125"/>
      <c r="D47" s="19"/>
      <c r="E47" s="20"/>
      <c r="F47" s="18"/>
      <c r="G47" s="21">
        <f>SUM(F42:F46)</f>
        <v>500000</v>
      </c>
    </row>
    <row r="48" spans="3:8" ht="18.75" x14ac:dyDescent="0.25">
      <c r="C48" s="125"/>
      <c r="D48" s="19"/>
      <c r="E48" s="20"/>
      <c r="F48" s="18"/>
      <c r="G48" s="14"/>
    </row>
    <row r="49" spans="3:8" ht="18.75" customHeight="1" x14ac:dyDescent="0.25">
      <c r="C49" s="125"/>
      <c r="D49" s="18">
        <v>50</v>
      </c>
      <c r="E49" s="18">
        <v>1010</v>
      </c>
      <c r="F49" s="18">
        <f>E49*D49</f>
        <v>50500</v>
      </c>
      <c r="G49" s="14"/>
    </row>
    <row r="50" spans="3:8" ht="18.75" x14ac:dyDescent="0.25">
      <c r="C50" s="125"/>
      <c r="D50" s="18">
        <v>150</v>
      </c>
      <c r="E50" s="18">
        <v>1010</v>
      </c>
      <c r="F50" s="18">
        <f>E50*D50</f>
        <v>151500</v>
      </c>
      <c r="G50" s="14"/>
      <c r="H50" s="22" t="s">
        <v>37</v>
      </c>
    </row>
    <row r="51" spans="3:8" ht="18.75" customHeight="1" x14ac:dyDescent="0.25">
      <c r="C51" s="125"/>
      <c r="D51" s="18">
        <v>125</v>
      </c>
      <c r="E51" s="18">
        <v>1010</v>
      </c>
      <c r="F51" s="18">
        <f>E51*D51</f>
        <v>126250</v>
      </c>
      <c r="G51" s="14"/>
      <c r="H51" s="22">
        <f>G54-G47</f>
        <v>5000</v>
      </c>
    </row>
    <row r="52" spans="3:8" ht="18.75" customHeight="1" x14ac:dyDescent="0.25">
      <c r="C52" s="125"/>
      <c r="D52" s="18">
        <v>150</v>
      </c>
      <c r="E52" s="18">
        <v>1010</v>
      </c>
      <c r="F52" s="18">
        <f>E52*D52</f>
        <v>151500</v>
      </c>
      <c r="G52" s="14"/>
    </row>
    <row r="53" spans="3:8" ht="18.75" customHeight="1" x14ac:dyDescent="0.25">
      <c r="C53" s="125"/>
      <c r="D53" s="18">
        <v>25</v>
      </c>
      <c r="E53" s="18">
        <v>1010</v>
      </c>
      <c r="F53" s="18">
        <f>E53*D53</f>
        <v>25250</v>
      </c>
      <c r="G53" s="14"/>
    </row>
    <row r="54" spans="3:8" ht="19.5" customHeight="1" x14ac:dyDescent="0.25">
      <c r="C54" s="125"/>
      <c r="D54" s="12"/>
      <c r="E54" s="13"/>
      <c r="F54" s="13"/>
      <c r="G54" s="21">
        <f>SUM(F49:F53)</f>
        <v>505000</v>
      </c>
    </row>
    <row r="55" spans="3:8" ht="19.5" customHeight="1" x14ac:dyDescent="0.25">
      <c r="C55" s="125"/>
      <c r="D55" s="12"/>
      <c r="E55" s="13"/>
      <c r="F55" s="13"/>
      <c r="G55" s="21"/>
    </row>
    <row r="57" spans="3:8" s="24" customFormat="1" ht="40.5" x14ac:dyDescent="0.3">
      <c r="C57" s="127" t="s">
        <v>51</v>
      </c>
      <c r="D57" s="23"/>
      <c r="E57" s="23"/>
      <c r="F57" s="23"/>
      <c r="G57" s="23"/>
    </row>
    <row r="58" spans="3:8" s="28" customFormat="1" ht="18.75" x14ac:dyDescent="0.25">
      <c r="C58" s="128"/>
      <c r="D58" s="25"/>
      <c r="E58" s="26"/>
      <c r="F58" s="26"/>
      <c r="G58" s="27"/>
    </row>
    <row r="59" spans="3:8" s="28" customFormat="1" ht="18.75" x14ac:dyDescent="0.25">
      <c r="C59" s="128" t="s">
        <v>41</v>
      </c>
      <c r="D59" s="25">
        <v>1500</v>
      </c>
      <c r="E59" s="26"/>
      <c r="F59" s="26"/>
      <c r="G59" s="27"/>
    </row>
    <row r="61" spans="3:8" s="9" customFormat="1" ht="21" thickBot="1" x14ac:dyDescent="0.35">
      <c r="C61" s="129" t="s">
        <v>68</v>
      </c>
    </row>
    <row r="62" spans="3:8" ht="15.75" thickTop="1" x14ac:dyDescent="0.25">
      <c r="C62" s="130" t="s">
        <v>69</v>
      </c>
      <c r="D62" s="11">
        <v>250</v>
      </c>
      <c r="E62" s="11">
        <v>60</v>
      </c>
      <c r="F62" s="18">
        <f>E62*D62</f>
        <v>15000</v>
      </c>
    </row>
    <row r="63" spans="3:8" x14ac:dyDescent="0.25">
      <c r="C63" s="130" t="s">
        <v>70</v>
      </c>
      <c r="D63" s="11">
        <v>250</v>
      </c>
      <c r="E63" s="11">
        <v>40</v>
      </c>
      <c r="F63" s="18">
        <f>E63*D63</f>
        <v>10000</v>
      </c>
    </row>
    <row r="64" spans="3:8" x14ac:dyDescent="0.25">
      <c r="C64" s="130" t="s">
        <v>71</v>
      </c>
      <c r="D64" s="11">
        <v>2</v>
      </c>
      <c r="E64" s="11">
        <v>6950</v>
      </c>
      <c r="F64" s="18">
        <f>E64*D64</f>
        <v>13900</v>
      </c>
    </row>
    <row r="65" spans="3:7" x14ac:dyDescent="0.25">
      <c r="G65" s="11">
        <f>SUM(F62:F64)</f>
        <v>38900</v>
      </c>
    </row>
    <row r="67" spans="3:7" s="29" customFormat="1" ht="14.25" x14ac:dyDescent="0.2">
      <c r="C67" s="131"/>
    </row>
    <row r="68" spans="3:7" s="9" customFormat="1" ht="21" hidden="1" thickBot="1" x14ac:dyDescent="0.35">
      <c r="C68" s="129" t="s">
        <v>105</v>
      </c>
    </row>
    <row r="69" spans="3:7" hidden="1" x14ac:dyDescent="0.25">
      <c r="D69" s="11">
        <v>2</v>
      </c>
      <c r="E69" s="11">
        <v>1095</v>
      </c>
      <c r="F69" s="11">
        <f>D69*E69</f>
        <v>2190</v>
      </c>
    </row>
    <row r="70" spans="3:7" hidden="1" x14ac:dyDescent="0.25">
      <c r="D70" s="11">
        <v>1</v>
      </c>
      <c r="E70" s="11">
        <v>1396</v>
      </c>
      <c r="F70" s="11">
        <f t="shared" ref="F70:F82" si="0">D70*E70</f>
        <v>1396</v>
      </c>
    </row>
    <row r="71" spans="3:7" hidden="1" x14ac:dyDescent="0.25">
      <c r="D71" s="11">
        <v>2</v>
      </c>
      <c r="E71" s="11">
        <v>4025</v>
      </c>
      <c r="F71" s="11">
        <f t="shared" si="0"/>
        <v>8050</v>
      </c>
    </row>
    <row r="72" spans="3:7" hidden="1" x14ac:dyDescent="0.25">
      <c r="D72" s="11">
        <v>1</v>
      </c>
      <c r="E72" s="11">
        <v>13320</v>
      </c>
      <c r="F72" s="11">
        <f t="shared" si="0"/>
        <v>13320</v>
      </c>
    </row>
    <row r="73" spans="3:7" hidden="1" x14ac:dyDescent="0.25">
      <c r="D73" s="11">
        <v>1</v>
      </c>
      <c r="E73" s="11">
        <v>5185</v>
      </c>
      <c r="F73" s="11">
        <f t="shared" si="0"/>
        <v>5185</v>
      </c>
    </row>
    <row r="74" spans="3:7" hidden="1" x14ac:dyDescent="0.25">
      <c r="D74" s="11">
        <v>1</v>
      </c>
      <c r="E74" s="11">
        <v>9920</v>
      </c>
      <c r="F74" s="11">
        <f t="shared" si="0"/>
        <v>9920</v>
      </c>
    </row>
    <row r="75" spans="3:7" hidden="1" x14ac:dyDescent="0.25">
      <c r="D75" s="11">
        <v>2</v>
      </c>
      <c r="E75" s="11">
        <v>7160</v>
      </c>
      <c r="F75" s="11">
        <f t="shared" si="0"/>
        <v>14320</v>
      </c>
    </row>
    <row r="76" spans="3:7" hidden="1" x14ac:dyDescent="0.25">
      <c r="C76" s="130" t="s">
        <v>53</v>
      </c>
      <c r="D76" s="11">
        <v>2000</v>
      </c>
      <c r="E76" s="11">
        <v>9</v>
      </c>
      <c r="F76" s="11">
        <f t="shared" si="0"/>
        <v>18000</v>
      </c>
    </row>
    <row r="77" spans="3:7" hidden="1" x14ac:dyDescent="0.25">
      <c r="D77" s="11">
        <v>200</v>
      </c>
      <c r="E77" s="11">
        <v>30</v>
      </c>
      <c r="F77" s="11">
        <f t="shared" si="0"/>
        <v>6000</v>
      </c>
    </row>
    <row r="78" spans="3:7" hidden="1" x14ac:dyDescent="0.25">
      <c r="D78" s="11">
        <v>2000</v>
      </c>
      <c r="E78" s="11">
        <v>4</v>
      </c>
      <c r="F78" s="11">
        <f t="shared" si="0"/>
        <v>8000</v>
      </c>
    </row>
    <row r="79" spans="3:7" hidden="1" x14ac:dyDescent="0.25">
      <c r="D79" s="11">
        <v>300</v>
      </c>
      <c r="E79" s="11">
        <v>35</v>
      </c>
      <c r="F79" s="11">
        <f t="shared" si="0"/>
        <v>10500</v>
      </c>
    </row>
    <row r="80" spans="3:7" hidden="1" x14ac:dyDescent="0.25">
      <c r="D80" s="11">
        <v>100</v>
      </c>
      <c r="E80" s="11">
        <v>35</v>
      </c>
      <c r="F80" s="11">
        <f t="shared" si="0"/>
        <v>3500</v>
      </c>
    </row>
    <row r="81" spans="3:9" hidden="1" x14ac:dyDescent="0.25">
      <c r="D81" s="11">
        <v>400</v>
      </c>
      <c r="E81" s="11">
        <v>17.5</v>
      </c>
      <c r="F81" s="11">
        <f t="shared" si="0"/>
        <v>7000</v>
      </c>
    </row>
    <row r="82" spans="3:9" hidden="1" x14ac:dyDescent="0.25">
      <c r="D82" s="11">
        <v>50</v>
      </c>
      <c r="E82" s="11">
        <v>50</v>
      </c>
      <c r="F82" s="11">
        <f t="shared" si="0"/>
        <v>2500</v>
      </c>
    </row>
    <row r="83" spans="3:9" hidden="1" x14ac:dyDescent="0.25">
      <c r="F83" s="11">
        <f>SUM(F69:F82)</f>
        <v>109881</v>
      </c>
    </row>
    <row r="84" spans="3:9" hidden="1" x14ac:dyDescent="0.25"/>
    <row r="85" spans="3:9" hidden="1" x14ac:dyDescent="0.25">
      <c r="H85" s="11" t="s">
        <v>37</v>
      </c>
      <c r="I85" s="11">
        <f>SUM(F100-F83)</f>
        <v>7778</v>
      </c>
    </row>
    <row r="86" spans="3:9" hidden="1" x14ac:dyDescent="0.25">
      <c r="D86" s="11">
        <v>2</v>
      </c>
      <c r="E86" s="11">
        <v>1101</v>
      </c>
      <c r="F86" s="11">
        <f t="shared" ref="F86:F99" si="1">D86*E86</f>
        <v>2202</v>
      </c>
    </row>
    <row r="87" spans="3:9" hidden="1" x14ac:dyDescent="0.25">
      <c r="D87" s="11">
        <v>1</v>
      </c>
      <c r="E87" s="11">
        <v>1402</v>
      </c>
      <c r="F87" s="11">
        <f t="shared" si="1"/>
        <v>1402</v>
      </c>
    </row>
    <row r="88" spans="3:9" hidden="1" x14ac:dyDescent="0.25">
      <c r="D88" s="11">
        <v>2</v>
      </c>
      <c r="E88" s="11">
        <v>4027</v>
      </c>
      <c r="F88" s="11">
        <f t="shared" si="1"/>
        <v>8054</v>
      </c>
    </row>
    <row r="89" spans="3:9" hidden="1" x14ac:dyDescent="0.25">
      <c r="D89" s="11">
        <v>1</v>
      </c>
      <c r="E89" s="11">
        <v>13325</v>
      </c>
      <c r="F89" s="11">
        <f t="shared" si="1"/>
        <v>13325</v>
      </c>
    </row>
    <row r="90" spans="3:9" hidden="1" x14ac:dyDescent="0.25">
      <c r="D90" s="11">
        <v>1</v>
      </c>
      <c r="E90" s="11">
        <v>5194</v>
      </c>
      <c r="F90" s="11">
        <f t="shared" si="1"/>
        <v>5194</v>
      </c>
    </row>
    <row r="91" spans="3:9" hidden="1" x14ac:dyDescent="0.25">
      <c r="D91" s="11">
        <v>1</v>
      </c>
      <c r="E91" s="11">
        <v>9932</v>
      </c>
      <c r="F91" s="11">
        <f t="shared" si="1"/>
        <v>9932</v>
      </c>
    </row>
    <row r="92" spans="3:9" hidden="1" x14ac:dyDescent="0.25">
      <c r="D92" s="11">
        <v>2</v>
      </c>
      <c r="E92" s="11">
        <v>7175</v>
      </c>
      <c r="F92" s="11">
        <f t="shared" si="1"/>
        <v>14350</v>
      </c>
    </row>
    <row r="93" spans="3:9" hidden="1" x14ac:dyDescent="0.25">
      <c r="C93" s="130" t="s">
        <v>106</v>
      </c>
      <c r="D93" s="11">
        <v>2000</v>
      </c>
      <c r="E93" s="11">
        <v>10</v>
      </c>
      <c r="F93" s="11">
        <f t="shared" si="1"/>
        <v>20000</v>
      </c>
    </row>
    <row r="94" spans="3:9" hidden="1" x14ac:dyDescent="0.25">
      <c r="D94" s="11">
        <v>200</v>
      </c>
      <c r="E94" s="11">
        <v>31</v>
      </c>
      <c r="F94" s="11">
        <f t="shared" si="1"/>
        <v>6200</v>
      </c>
    </row>
    <row r="95" spans="3:9" hidden="1" x14ac:dyDescent="0.25">
      <c r="D95" s="11">
        <v>2000</v>
      </c>
      <c r="E95" s="11">
        <v>6</v>
      </c>
      <c r="F95" s="11">
        <f t="shared" si="1"/>
        <v>12000</v>
      </c>
    </row>
    <row r="96" spans="3:9" hidden="1" x14ac:dyDescent="0.25">
      <c r="D96" s="11">
        <v>300</v>
      </c>
      <c r="E96" s="11">
        <v>37</v>
      </c>
      <c r="F96" s="11">
        <f t="shared" si="1"/>
        <v>11100</v>
      </c>
    </row>
    <row r="97" spans="3:9" hidden="1" x14ac:dyDescent="0.25">
      <c r="D97" s="11">
        <v>100</v>
      </c>
      <c r="E97" s="11">
        <v>37</v>
      </c>
      <c r="F97" s="11">
        <f t="shared" si="1"/>
        <v>3700</v>
      </c>
    </row>
    <row r="98" spans="3:9" hidden="1" x14ac:dyDescent="0.25">
      <c r="D98" s="11">
        <v>400</v>
      </c>
      <c r="E98" s="11">
        <v>19</v>
      </c>
      <c r="F98" s="11">
        <f t="shared" si="1"/>
        <v>7600</v>
      </c>
    </row>
    <row r="99" spans="3:9" hidden="1" x14ac:dyDescent="0.25">
      <c r="D99" s="11">
        <v>50</v>
      </c>
      <c r="E99" s="11">
        <v>52</v>
      </c>
      <c r="F99" s="11">
        <f t="shared" si="1"/>
        <v>2600</v>
      </c>
    </row>
    <row r="100" spans="3:9" hidden="1" x14ac:dyDescent="0.25">
      <c r="F100" s="11">
        <f>SUM(F86:F99)</f>
        <v>117659</v>
      </c>
    </row>
    <row r="101" spans="3:9" hidden="1" x14ac:dyDescent="0.25"/>
    <row r="102" spans="3:9" hidden="1" x14ac:dyDescent="0.25">
      <c r="H102" s="11" t="s">
        <v>37</v>
      </c>
      <c r="I102" s="11">
        <f>SUM(F117-F100)</f>
        <v>8559</v>
      </c>
    </row>
    <row r="103" spans="3:9" hidden="1" x14ac:dyDescent="0.25">
      <c r="D103" s="11">
        <v>2</v>
      </c>
      <c r="E103" s="11">
        <v>1105</v>
      </c>
      <c r="F103" s="11">
        <f t="shared" ref="F103:F116" si="2">D103*E103</f>
        <v>2210</v>
      </c>
    </row>
    <row r="104" spans="3:9" hidden="1" x14ac:dyDescent="0.25">
      <c r="D104" s="11">
        <v>1</v>
      </c>
      <c r="E104" s="11">
        <v>1408</v>
      </c>
      <c r="F104" s="11">
        <f t="shared" si="2"/>
        <v>1408</v>
      </c>
    </row>
    <row r="105" spans="3:9" hidden="1" x14ac:dyDescent="0.25">
      <c r="D105" s="11">
        <v>2</v>
      </c>
      <c r="E105" s="11">
        <v>4031</v>
      </c>
      <c r="F105" s="11">
        <f t="shared" si="2"/>
        <v>8062</v>
      </c>
    </row>
    <row r="106" spans="3:9" hidden="1" x14ac:dyDescent="0.25">
      <c r="D106" s="11">
        <v>1</v>
      </c>
      <c r="E106" s="11">
        <v>13329</v>
      </c>
      <c r="F106" s="11">
        <f t="shared" si="2"/>
        <v>13329</v>
      </c>
    </row>
    <row r="107" spans="3:9" hidden="1" x14ac:dyDescent="0.25">
      <c r="D107" s="11">
        <v>1</v>
      </c>
      <c r="E107" s="11">
        <v>5201</v>
      </c>
      <c r="F107" s="11">
        <f t="shared" si="2"/>
        <v>5201</v>
      </c>
    </row>
    <row r="108" spans="3:9" hidden="1" x14ac:dyDescent="0.25">
      <c r="D108" s="11">
        <v>1</v>
      </c>
      <c r="E108" s="11">
        <v>9950</v>
      </c>
      <c r="F108" s="11">
        <f t="shared" si="2"/>
        <v>9950</v>
      </c>
    </row>
    <row r="109" spans="3:9" hidden="1" x14ac:dyDescent="0.25">
      <c r="D109" s="11">
        <v>2</v>
      </c>
      <c r="E109" s="11">
        <v>7179</v>
      </c>
      <c r="F109" s="11">
        <f t="shared" si="2"/>
        <v>14358</v>
      </c>
    </row>
    <row r="110" spans="3:9" hidden="1" x14ac:dyDescent="0.25">
      <c r="C110" s="130" t="s">
        <v>107</v>
      </c>
      <c r="D110" s="11">
        <v>2000</v>
      </c>
      <c r="E110" s="11">
        <v>11</v>
      </c>
      <c r="F110" s="11">
        <f t="shared" si="2"/>
        <v>22000</v>
      </c>
    </row>
    <row r="111" spans="3:9" hidden="1" x14ac:dyDescent="0.25">
      <c r="D111" s="11">
        <v>200</v>
      </c>
      <c r="E111" s="11">
        <v>35</v>
      </c>
      <c r="F111" s="11">
        <f t="shared" si="2"/>
        <v>7000</v>
      </c>
    </row>
    <row r="112" spans="3:9" hidden="1" x14ac:dyDescent="0.25">
      <c r="D112" s="11">
        <v>2000</v>
      </c>
      <c r="E112" s="11">
        <v>8</v>
      </c>
      <c r="F112" s="11">
        <f t="shared" si="2"/>
        <v>16000</v>
      </c>
    </row>
    <row r="113" spans="2:6" hidden="1" x14ac:dyDescent="0.25">
      <c r="D113" s="11">
        <v>300</v>
      </c>
      <c r="E113" s="11">
        <v>39</v>
      </c>
      <c r="F113" s="11">
        <f t="shared" si="2"/>
        <v>11700</v>
      </c>
    </row>
    <row r="114" spans="2:6" hidden="1" x14ac:dyDescent="0.25">
      <c r="D114" s="11">
        <v>100</v>
      </c>
      <c r="E114" s="11">
        <v>39</v>
      </c>
      <c r="F114" s="11">
        <f t="shared" si="2"/>
        <v>3900</v>
      </c>
    </row>
    <row r="115" spans="2:6" hidden="1" x14ac:dyDescent="0.25">
      <c r="D115" s="11">
        <v>400</v>
      </c>
      <c r="E115" s="11">
        <v>21</v>
      </c>
      <c r="F115" s="11">
        <f t="shared" si="2"/>
        <v>8400</v>
      </c>
    </row>
    <row r="116" spans="2:6" hidden="1" x14ac:dyDescent="0.25">
      <c r="D116" s="11">
        <v>50</v>
      </c>
      <c r="E116" s="11">
        <v>54</v>
      </c>
      <c r="F116" s="11">
        <f t="shared" si="2"/>
        <v>2700</v>
      </c>
    </row>
    <row r="117" spans="2:6" hidden="1" x14ac:dyDescent="0.25">
      <c r="F117" s="11">
        <f>SUM(F103:F116)</f>
        <v>126218</v>
      </c>
    </row>
    <row r="119" spans="2:6" s="9" customFormat="1" ht="21" thickBot="1" x14ac:dyDescent="0.35">
      <c r="C119" s="129" t="s">
        <v>150</v>
      </c>
    </row>
    <row r="120" spans="2:6" ht="15.75" thickTop="1" x14ac:dyDescent="0.25"/>
    <row r="121" spans="2:6" x14ac:dyDescent="0.25">
      <c r="B121" s="11">
        <v>1</v>
      </c>
      <c r="C121" s="130" t="s">
        <v>118</v>
      </c>
      <c r="D121" s="30">
        <v>1</v>
      </c>
    </row>
    <row r="122" spans="2:6" x14ac:dyDescent="0.25">
      <c r="B122" s="11">
        <v>2</v>
      </c>
      <c r="C122" s="130" t="s">
        <v>119</v>
      </c>
      <c r="D122" s="30">
        <v>3</v>
      </c>
    </row>
    <row r="123" spans="2:6" x14ac:dyDescent="0.25">
      <c r="B123" s="11">
        <v>3</v>
      </c>
      <c r="C123" s="130" t="s">
        <v>120</v>
      </c>
      <c r="D123" s="30">
        <v>1</v>
      </c>
    </row>
    <row r="124" spans="2:6" x14ac:dyDescent="0.25">
      <c r="B124" s="11">
        <v>4</v>
      </c>
      <c r="C124" s="130" t="s">
        <v>121</v>
      </c>
      <c r="D124" s="30">
        <v>8</v>
      </c>
    </row>
    <row r="125" spans="2:6" x14ac:dyDescent="0.25">
      <c r="B125" s="11">
        <v>5</v>
      </c>
      <c r="C125" s="130" t="s">
        <v>122</v>
      </c>
      <c r="D125" s="30">
        <v>18</v>
      </c>
    </row>
    <row r="126" spans="2:6" x14ac:dyDescent="0.25">
      <c r="B126" s="11">
        <v>6</v>
      </c>
      <c r="C126" s="130" t="s">
        <v>123</v>
      </c>
      <c r="D126" s="30">
        <v>16</v>
      </c>
    </row>
    <row r="127" spans="2:6" x14ac:dyDescent="0.25">
      <c r="B127" s="11">
        <v>7</v>
      </c>
      <c r="C127" s="130" t="s">
        <v>124</v>
      </c>
      <c r="D127" s="30">
        <v>21</v>
      </c>
    </row>
    <row r="128" spans="2:6" x14ac:dyDescent="0.25">
      <c r="B128" s="11">
        <v>8</v>
      </c>
      <c r="C128" s="130" t="s">
        <v>125</v>
      </c>
      <c r="D128" s="30">
        <v>8</v>
      </c>
    </row>
    <row r="129" spans="2:4" x14ac:dyDescent="0.25">
      <c r="B129" s="11">
        <v>9</v>
      </c>
      <c r="C129" s="130" t="s">
        <v>126</v>
      </c>
      <c r="D129" s="30">
        <v>6</v>
      </c>
    </row>
    <row r="130" spans="2:4" x14ac:dyDescent="0.25">
      <c r="B130" s="11">
        <v>10</v>
      </c>
      <c r="C130" s="130" t="s">
        <v>127</v>
      </c>
      <c r="D130" s="30">
        <v>6</v>
      </c>
    </row>
    <row r="131" spans="2:4" x14ac:dyDescent="0.25">
      <c r="B131" s="11">
        <v>11</v>
      </c>
      <c r="C131" s="130" t="s">
        <v>128</v>
      </c>
      <c r="D131" s="30">
        <v>1</v>
      </c>
    </row>
    <row r="132" spans="2:4" x14ac:dyDescent="0.25">
      <c r="B132" s="11">
        <v>12</v>
      </c>
      <c r="C132" s="130" t="s">
        <v>129</v>
      </c>
      <c r="D132" s="30">
        <v>1</v>
      </c>
    </row>
    <row r="133" spans="2:4" x14ac:dyDescent="0.25">
      <c r="B133" s="11">
        <v>13</v>
      </c>
      <c r="C133" s="130" t="s">
        <v>130</v>
      </c>
      <c r="D133" s="30" t="s">
        <v>148</v>
      </c>
    </row>
    <row r="134" spans="2:4" x14ac:dyDescent="0.25">
      <c r="B134" s="11">
        <v>14</v>
      </c>
      <c r="C134" s="130" t="s">
        <v>131</v>
      </c>
      <c r="D134" s="30" t="s">
        <v>148</v>
      </c>
    </row>
    <row r="135" spans="2:4" x14ac:dyDescent="0.25">
      <c r="B135" s="11">
        <v>15</v>
      </c>
      <c r="C135" s="130" t="s">
        <v>132</v>
      </c>
      <c r="D135" s="30">
        <v>1</v>
      </c>
    </row>
    <row r="136" spans="2:4" x14ac:dyDescent="0.25">
      <c r="B136" s="11">
        <v>16</v>
      </c>
      <c r="C136" s="130" t="s">
        <v>133</v>
      </c>
      <c r="D136" s="30">
        <v>1</v>
      </c>
    </row>
    <row r="137" spans="2:4" x14ac:dyDescent="0.25">
      <c r="B137" s="11">
        <v>17</v>
      </c>
      <c r="C137" s="130" t="s">
        <v>134</v>
      </c>
      <c r="D137" s="30">
        <v>1</v>
      </c>
    </row>
    <row r="138" spans="2:4" x14ac:dyDescent="0.25">
      <c r="B138" s="11">
        <v>18</v>
      </c>
      <c r="C138" s="130" t="s">
        <v>135</v>
      </c>
      <c r="D138" s="30">
        <v>1</v>
      </c>
    </row>
    <row r="139" spans="2:4" x14ac:dyDescent="0.25">
      <c r="B139" s="11">
        <v>19</v>
      </c>
      <c r="C139" s="130" t="s">
        <v>136</v>
      </c>
      <c r="D139" s="30">
        <v>1</v>
      </c>
    </row>
    <row r="140" spans="2:4" x14ac:dyDescent="0.25">
      <c r="B140" s="11">
        <v>20</v>
      </c>
      <c r="C140" s="130" t="s">
        <v>137</v>
      </c>
      <c r="D140" s="30">
        <v>8</v>
      </c>
    </row>
    <row r="141" spans="2:4" x14ac:dyDescent="0.25">
      <c r="B141" s="11">
        <v>21</v>
      </c>
      <c r="C141" s="130" t="s">
        <v>138</v>
      </c>
      <c r="D141" s="30">
        <v>8</v>
      </c>
    </row>
    <row r="142" spans="2:4" x14ac:dyDescent="0.25">
      <c r="B142" s="11">
        <v>22</v>
      </c>
      <c r="C142" s="130" t="s">
        <v>139</v>
      </c>
      <c r="D142" s="30">
        <v>18</v>
      </c>
    </row>
    <row r="143" spans="2:4" x14ac:dyDescent="0.25">
      <c r="B143" s="11">
        <v>23</v>
      </c>
      <c r="C143" s="130" t="s">
        <v>140</v>
      </c>
      <c r="D143" s="30">
        <v>8</v>
      </c>
    </row>
    <row r="144" spans="2:4" x14ac:dyDescent="0.25">
      <c r="B144" s="11">
        <v>24</v>
      </c>
      <c r="C144" s="130" t="s">
        <v>141</v>
      </c>
      <c r="D144" s="30">
        <v>10</v>
      </c>
    </row>
    <row r="145" spans="2:6" x14ac:dyDescent="0.25">
      <c r="B145" s="11">
        <v>25</v>
      </c>
      <c r="C145" s="130" t="s">
        <v>142</v>
      </c>
      <c r="D145" s="30">
        <v>5</v>
      </c>
    </row>
    <row r="146" spans="2:6" x14ac:dyDescent="0.25">
      <c r="B146" s="11">
        <v>26</v>
      </c>
      <c r="C146" s="130" t="s">
        <v>143</v>
      </c>
      <c r="D146" s="30">
        <v>1</v>
      </c>
    </row>
    <row r="147" spans="2:6" x14ac:dyDescent="0.25">
      <c r="B147" s="11">
        <v>27</v>
      </c>
      <c r="C147" s="130" t="s">
        <v>144</v>
      </c>
      <c r="D147" s="30">
        <v>5</v>
      </c>
    </row>
    <row r="148" spans="2:6" x14ac:dyDescent="0.25">
      <c r="B148" s="11">
        <v>28</v>
      </c>
      <c r="C148" s="130" t="s">
        <v>111</v>
      </c>
      <c r="D148" s="30">
        <v>1</v>
      </c>
    </row>
    <row r="149" spans="2:6" x14ac:dyDescent="0.25">
      <c r="B149" s="11">
        <v>29</v>
      </c>
      <c r="C149" s="130" t="s">
        <v>112</v>
      </c>
      <c r="D149" s="30">
        <v>8</v>
      </c>
    </row>
    <row r="150" spans="2:6" x14ac:dyDescent="0.25">
      <c r="B150" s="11">
        <v>30</v>
      </c>
      <c r="C150" s="130" t="s">
        <v>145</v>
      </c>
      <c r="D150" s="30">
        <v>2</v>
      </c>
    </row>
    <row r="151" spans="2:6" x14ac:dyDescent="0.25">
      <c r="B151" s="11">
        <v>31</v>
      </c>
      <c r="C151" s="130" t="s">
        <v>146</v>
      </c>
      <c r="D151" s="30">
        <v>3</v>
      </c>
    </row>
    <row r="152" spans="2:6" x14ac:dyDescent="0.25">
      <c r="B152" s="11">
        <v>32</v>
      </c>
      <c r="C152" s="130" t="s">
        <v>113</v>
      </c>
      <c r="D152" s="30" t="s">
        <v>149</v>
      </c>
    </row>
    <row r="153" spans="2:6" x14ac:dyDescent="0.25">
      <c r="B153" s="11">
        <v>33</v>
      </c>
      <c r="C153" s="130" t="s">
        <v>147</v>
      </c>
      <c r="D153" s="30">
        <v>1</v>
      </c>
    </row>
    <row r="154" spans="2:6" x14ac:dyDescent="0.25">
      <c r="B154" s="11">
        <v>34</v>
      </c>
      <c r="C154" s="130" t="s">
        <v>114</v>
      </c>
      <c r="D154" s="30">
        <v>8</v>
      </c>
    </row>
    <row r="155" spans="2:6" x14ac:dyDescent="0.25">
      <c r="B155" s="11">
        <v>35</v>
      </c>
      <c r="C155" s="130" t="s">
        <v>115</v>
      </c>
      <c r="D155" s="30">
        <v>400</v>
      </c>
    </row>
    <row r="157" spans="2:6" s="1" customFormat="1" ht="21.75" thickBot="1" x14ac:dyDescent="0.4">
      <c r="C157" s="132" t="s">
        <v>151</v>
      </c>
    </row>
    <row r="158" spans="2:6" ht="17.25" thickTop="1" thickBot="1" x14ac:dyDescent="0.3">
      <c r="B158" s="34" t="s">
        <v>4</v>
      </c>
      <c r="C158" s="133" t="s">
        <v>0</v>
      </c>
      <c r="D158" s="35" t="s">
        <v>1</v>
      </c>
      <c r="E158" s="35" t="s">
        <v>2</v>
      </c>
      <c r="F158" s="35" t="s">
        <v>3</v>
      </c>
    </row>
    <row r="159" spans="2:6" x14ac:dyDescent="0.25">
      <c r="B159" s="32">
        <v>1</v>
      </c>
      <c r="C159" s="134" t="s">
        <v>152</v>
      </c>
      <c r="D159" s="32">
        <v>100</v>
      </c>
      <c r="E159" s="31">
        <v>375</v>
      </c>
      <c r="F159" s="31">
        <f>PRODUCT(D159:E159)</f>
        <v>37500</v>
      </c>
    </row>
    <row r="160" spans="2:6" x14ac:dyDescent="0.25">
      <c r="B160" s="32">
        <v>2</v>
      </c>
      <c r="C160" s="134" t="s">
        <v>153</v>
      </c>
      <c r="D160" s="32">
        <v>100</v>
      </c>
      <c r="E160" s="31">
        <v>850</v>
      </c>
      <c r="F160" s="31">
        <f>PRODUCT(D160:E160)</f>
        <v>85000</v>
      </c>
    </row>
    <row r="161" spans="2:6" x14ac:dyDescent="0.25">
      <c r="B161" s="32">
        <v>3</v>
      </c>
      <c r="C161" s="134" t="s">
        <v>154</v>
      </c>
      <c r="D161" s="32">
        <v>100</v>
      </c>
      <c r="E161" s="31">
        <v>375</v>
      </c>
      <c r="F161" s="31">
        <f>PRODUCT(D161:E161)</f>
        <v>37500</v>
      </c>
    </row>
    <row r="162" spans="2:6" x14ac:dyDescent="0.25">
      <c r="C162" s="135" t="s">
        <v>25</v>
      </c>
      <c r="D162" s="33"/>
      <c r="E162" s="33"/>
      <c r="F162" s="31">
        <f>SUM(F159:F161)</f>
        <v>160000</v>
      </c>
    </row>
    <row r="164" spans="2:6" s="1" customFormat="1" ht="21.75" thickBot="1" x14ac:dyDescent="0.4">
      <c r="C164" s="132" t="s">
        <v>158</v>
      </c>
    </row>
    <row r="165" spans="2:6" ht="15.75" customHeight="1" thickTop="1" x14ac:dyDescent="0.25">
      <c r="B165" s="11" t="s">
        <v>166</v>
      </c>
      <c r="C165" s="130" t="s">
        <v>159</v>
      </c>
      <c r="D165" s="11">
        <v>13</v>
      </c>
      <c r="E165" s="11">
        <v>2265</v>
      </c>
      <c r="F165" s="11">
        <f>PRODUCT(D165:E165)</f>
        <v>29445</v>
      </c>
    </row>
    <row r="166" spans="2:6" ht="15.75" x14ac:dyDescent="0.25">
      <c r="B166" s="11" t="s">
        <v>167</v>
      </c>
      <c r="C166" s="130" t="s">
        <v>160</v>
      </c>
      <c r="D166" s="11">
        <v>15</v>
      </c>
      <c r="E166" s="11">
        <v>2265</v>
      </c>
      <c r="F166" s="11">
        <f t="shared" ref="F166:F171" si="3">PRODUCT(D166:E166)</f>
        <v>33975</v>
      </c>
    </row>
    <row r="167" spans="2:6" ht="15.75" x14ac:dyDescent="0.25">
      <c r="B167" s="11" t="s">
        <v>168</v>
      </c>
      <c r="C167" s="130" t="s">
        <v>161</v>
      </c>
      <c r="D167" s="11">
        <v>10</v>
      </c>
      <c r="E167" s="11">
        <v>2265</v>
      </c>
      <c r="F167" s="11">
        <f t="shared" si="3"/>
        <v>22650</v>
      </c>
    </row>
    <row r="168" spans="2:6" ht="18.75" x14ac:dyDescent="0.3">
      <c r="B168" s="11" t="s">
        <v>169</v>
      </c>
      <c r="C168" s="130" t="s">
        <v>162</v>
      </c>
      <c r="D168" s="11">
        <v>1</v>
      </c>
      <c r="E168" s="11">
        <v>2265</v>
      </c>
      <c r="F168" s="11">
        <f t="shared" si="3"/>
        <v>2265</v>
      </c>
    </row>
    <row r="169" spans="2:6" ht="18.75" x14ac:dyDescent="0.3">
      <c r="B169" s="11" t="s">
        <v>170</v>
      </c>
      <c r="C169" s="130" t="s">
        <v>163</v>
      </c>
      <c r="D169" s="11">
        <v>1</v>
      </c>
      <c r="E169" s="11">
        <v>2265</v>
      </c>
      <c r="F169" s="11">
        <f t="shared" si="3"/>
        <v>2265</v>
      </c>
    </row>
    <row r="170" spans="2:6" ht="18.75" x14ac:dyDescent="0.3">
      <c r="B170" s="11" t="s">
        <v>171</v>
      </c>
      <c r="C170" s="130" t="s">
        <v>164</v>
      </c>
      <c r="D170" s="11">
        <v>7</v>
      </c>
      <c r="E170" s="11">
        <v>2265</v>
      </c>
      <c r="F170" s="11">
        <f t="shared" si="3"/>
        <v>15855</v>
      </c>
    </row>
    <row r="171" spans="2:6" ht="18.75" x14ac:dyDescent="0.3">
      <c r="B171" s="11" t="s">
        <v>172</v>
      </c>
      <c r="C171" s="130" t="s">
        <v>165</v>
      </c>
      <c r="D171" s="11">
        <v>8</v>
      </c>
      <c r="E171" s="11">
        <v>28255</v>
      </c>
      <c r="F171" s="11">
        <f t="shared" si="3"/>
        <v>226040</v>
      </c>
    </row>
    <row r="172" spans="2:6" x14ac:dyDescent="0.25">
      <c r="F172" s="11">
        <f>SUM(F165:F171)</f>
        <v>332495</v>
      </c>
    </row>
    <row r="175" spans="2:6" s="41" customFormat="1" ht="21.75" thickBot="1" x14ac:dyDescent="0.4">
      <c r="C175" s="132" t="s">
        <v>416</v>
      </c>
    </row>
    <row r="176" spans="2:6" ht="9.9499999999999993" customHeight="1" thickTop="1" x14ac:dyDescent="0.25">
      <c r="C176" s="136" t="s">
        <v>412</v>
      </c>
      <c r="D176" s="57">
        <v>160</v>
      </c>
      <c r="E176" s="54">
        <v>145</v>
      </c>
      <c r="F176" s="62">
        <f t="shared" ref="F176:F182" si="4">PRODUCT(D176:E176)</f>
        <v>23200</v>
      </c>
    </row>
    <row r="177" spans="3:7" ht="9.9499999999999993" customHeight="1" x14ac:dyDescent="0.25">
      <c r="C177" s="136" t="s">
        <v>417</v>
      </c>
      <c r="D177" s="57">
        <v>160</v>
      </c>
      <c r="E177" s="54">
        <v>100</v>
      </c>
      <c r="F177" s="62">
        <f t="shared" si="4"/>
        <v>16000</v>
      </c>
    </row>
    <row r="178" spans="3:7" ht="9.9499999999999993" customHeight="1" x14ac:dyDescent="0.25">
      <c r="C178" s="136" t="s">
        <v>414</v>
      </c>
      <c r="D178" s="57">
        <v>160</v>
      </c>
      <c r="E178" s="54">
        <v>197</v>
      </c>
      <c r="F178" s="62">
        <f t="shared" si="4"/>
        <v>31520</v>
      </c>
    </row>
    <row r="179" spans="3:7" ht="9.9499999999999993" customHeight="1" x14ac:dyDescent="0.25">
      <c r="C179" s="136" t="s">
        <v>418</v>
      </c>
      <c r="D179" s="57">
        <v>30</v>
      </c>
      <c r="E179" s="54">
        <v>1360</v>
      </c>
      <c r="F179" s="62">
        <f t="shared" si="4"/>
        <v>40800</v>
      </c>
    </row>
    <row r="180" spans="3:7" ht="9.9499999999999993" customHeight="1" x14ac:dyDescent="0.25">
      <c r="C180" s="136" t="s">
        <v>419</v>
      </c>
      <c r="D180" s="57">
        <v>60</v>
      </c>
      <c r="E180" s="54">
        <v>1360</v>
      </c>
      <c r="F180" s="62">
        <f t="shared" si="4"/>
        <v>81600</v>
      </c>
    </row>
    <row r="181" spans="3:7" ht="9.9499999999999993" customHeight="1" x14ac:dyDescent="0.25">
      <c r="C181" s="136" t="s">
        <v>420</v>
      </c>
      <c r="D181" s="57">
        <v>60</v>
      </c>
      <c r="E181" s="54">
        <v>1360</v>
      </c>
      <c r="F181" s="62">
        <f t="shared" si="4"/>
        <v>81600</v>
      </c>
    </row>
    <row r="182" spans="3:7" ht="9.9499999999999993" customHeight="1" x14ac:dyDescent="0.25">
      <c r="C182" s="136" t="s">
        <v>421</v>
      </c>
      <c r="D182" s="57">
        <v>10</v>
      </c>
      <c r="E182" s="54">
        <v>1360</v>
      </c>
      <c r="F182" s="62">
        <f t="shared" si="4"/>
        <v>13600</v>
      </c>
    </row>
    <row r="183" spans="3:7" ht="9.9499999999999993" customHeight="1" x14ac:dyDescent="0.25">
      <c r="G183" s="82">
        <f>(G193-G184)/G184</f>
        <v>2.1087680355160933E-2</v>
      </c>
    </row>
    <row r="184" spans="3:7" ht="9.9499999999999993" customHeight="1" x14ac:dyDescent="0.25">
      <c r="G184" s="64">
        <f>SUM(F176:F182)</f>
        <v>288320</v>
      </c>
    </row>
    <row r="185" spans="3:7" ht="9.9499999999999993" customHeight="1" x14ac:dyDescent="0.25">
      <c r="C185" s="136" t="s">
        <v>412</v>
      </c>
      <c r="D185" s="57">
        <v>160</v>
      </c>
      <c r="E185" s="54">
        <v>150</v>
      </c>
      <c r="F185" s="62">
        <f t="shared" ref="F185:F191" si="5">PRODUCT(D185:E185)</f>
        <v>24000</v>
      </c>
    </row>
    <row r="186" spans="3:7" ht="9.9499999999999993" customHeight="1" x14ac:dyDescent="0.25">
      <c r="C186" s="136" t="s">
        <v>417</v>
      </c>
      <c r="D186" s="57">
        <v>160</v>
      </c>
      <c r="E186" s="54">
        <v>120</v>
      </c>
      <c r="F186" s="62">
        <f t="shared" si="5"/>
        <v>19200</v>
      </c>
    </row>
    <row r="187" spans="3:7" ht="9.9499999999999993" customHeight="1" x14ac:dyDescent="0.25">
      <c r="C187" s="136" t="s">
        <v>414</v>
      </c>
      <c r="D187" s="57">
        <v>160</v>
      </c>
      <c r="E187" s="54">
        <v>200</v>
      </c>
      <c r="F187" s="62">
        <f t="shared" si="5"/>
        <v>32000</v>
      </c>
    </row>
    <row r="188" spans="3:7" ht="9.9499999999999993" customHeight="1" x14ac:dyDescent="0.25">
      <c r="C188" s="136" t="s">
        <v>418</v>
      </c>
      <c r="D188" s="57">
        <v>30</v>
      </c>
      <c r="E188" s="54">
        <v>1370</v>
      </c>
      <c r="F188" s="62">
        <f t="shared" si="5"/>
        <v>41100</v>
      </c>
    </row>
    <row r="189" spans="3:7" ht="9.9499999999999993" customHeight="1" x14ac:dyDescent="0.25">
      <c r="C189" s="136" t="s">
        <v>419</v>
      </c>
      <c r="D189" s="57">
        <v>60</v>
      </c>
      <c r="E189" s="54">
        <v>1370</v>
      </c>
      <c r="F189" s="62">
        <f t="shared" si="5"/>
        <v>82200</v>
      </c>
    </row>
    <row r="190" spans="3:7" ht="9.9499999999999993" customHeight="1" x14ac:dyDescent="0.25">
      <c r="C190" s="136" t="s">
        <v>420</v>
      </c>
      <c r="D190" s="57">
        <v>60</v>
      </c>
      <c r="E190" s="54">
        <v>1370</v>
      </c>
      <c r="F190" s="62">
        <f t="shared" si="5"/>
        <v>82200</v>
      </c>
    </row>
    <row r="191" spans="3:7" ht="9.9499999999999993" customHeight="1" x14ac:dyDescent="0.25">
      <c r="C191" s="136" t="s">
        <v>421</v>
      </c>
      <c r="D191" s="57">
        <v>10</v>
      </c>
      <c r="E191" s="54">
        <v>1370</v>
      </c>
      <c r="F191" s="62">
        <f t="shared" si="5"/>
        <v>13700</v>
      </c>
    </row>
    <row r="192" spans="3:7" ht="9.9499999999999993" customHeight="1" x14ac:dyDescent="0.25">
      <c r="G192" s="82">
        <f>(G193-G184)/G184</f>
        <v>2.1087680355160933E-2</v>
      </c>
    </row>
    <row r="193" spans="3:8" ht="9.9499999999999993" customHeight="1" x14ac:dyDescent="0.25">
      <c r="G193" s="64">
        <f>SUM(F185:F191)</f>
        <v>294400</v>
      </c>
    </row>
    <row r="194" spans="3:8" ht="9.9499999999999993" customHeight="1" x14ac:dyDescent="0.25">
      <c r="C194" s="136" t="s">
        <v>412</v>
      </c>
      <c r="D194" s="57">
        <v>160</v>
      </c>
      <c r="E194" s="54">
        <v>155</v>
      </c>
      <c r="F194" s="62">
        <f t="shared" ref="F194:F200" si="6">PRODUCT(D194:E194)</f>
        <v>24800</v>
      </c>
    </row>
    <row r="195" spans="3:8" ht="9.9499999999999993" customHeight="1" x14ac:dyDescent="0.25">
      <c r="C195" s="136" t="s">
        <v>417</v>
      </c>
      <c r="D195" s="57">
        <v>160</v>
      </c>
      <c r="E195" s="54">
        <v>130</v>
      </c>
      <c r="F195" s="62">
        <f t="shared" si="6"/>
        <v>20800</v>
      </c>
    </row>
    <row r="196" spans="3:8" ht="9.9499999999999993" customHeight="1" x14ac:dyDescent="0.25">
      <c r="C196" s="136" t="s">
        <v>414</v>
      </c>
      <c r="D196" s="57">
        <v>160</v>
      </c>
      <c r="E196" s="54">
        <v>220</v>
      </c>
      <c r="F196" s="62">
        <f t="shared" si="6"/>
        <v>35200</v>
      </c>
    </row>
    <row r="197" spans="3:8" ht="9.9499999999999993" customHeight="1" x14ac:dyDescent="0.25">
      <c r="C197" s="136" t="s">
        <v>418</v>
      </c>
      <c r="D197" s="57">
        <v>30</v>
      </c>
      <c r="E197" s="54">
        <v>1400</v>
      </c>
      <c r="F197" s="62">
        <f t="shared" si="6"/>
        <v>42000</v>
      </c>
    </row>
    <row r="198" spans="3:8" ht="9.9499999999999993" customHeight="1" x14ac:dyDescent="0.25">
      <c r="C198" s="136" t="s">
        <v>419</v>
      </c>
      <c r="D198" s="57">
        <v>60</v>
      </c>
      <c r="E198" s="54">
        <v>1400</v>
      </c>
      <c r="F198" s="62">
        <f t="shared" si="6"/>
        <v>84000</v>
      </c>
    </row>
    <row r="199" spans="3:8" ht="9.9499999999999993" customHeight="1" x14ac:dyDescent="0.25">
      <c r="C199" s="136" t="s">
        <v>420</v>
      </c>
      <c r="D199" s="57">
        <v>60</v>
      </c>
      <c r="E199" s="54">
        <v>1400</v>
      </c>
      <c r="F199" s="62">
        <f t="shared" si="6"/>
        <v>84000</v>
      </c>
    </row>
    <row r="200" spans="3:8" ht="9.9499999999999993" customHeight="1" x14ac:dyDescent="0.25">
      <c r="C200" s="136" t="s">
        <v>421</v>
      </c>
      <c r="D200" s="57">
        <v>10</v>
      </c>
      <c r="E200" s="54">
        <v>1400</v>
      </c>
      <c r="F200" s="62">
        <f t="shared" si="6"/>
        <v>14000</v>
      </c>
    </row>
    <row r="201" spans="3:8" ht="9.9499999999999993" customHeight="1" x14ac:dyDescent="0.25">
      <c r="G201" s="82">
        <f>(G202-G193)/G193</f>
        <v>3.5326086956521736E-2</v>
      </c>
    </row>
    <row r="202" spans="3:8" ht="9.9499999999999993" customHeight="1" x14ac:dyDescent="0.25">
      <c r="G202" s="64">
        <f>SUM(F194:F200)</f>
        <v>304800</v>
      </c>
    </row>
    <row r="203" spans="3:8" ht="15.75" x14ac:dyDescent="0.25">
      <c r="C203" s="136"/>
      <c r="D203" s="57"/>
      <c r="E203" s="54"/>
      <c r="F203" s="62"/>
    </row>
    <row r="204" spans="3:8" s="41" customFormat="1" ht="21.75" thickBot="1" x14ac:dyDescent="0.4">
      <c r="C204" s="137" t="s">
        <v>441</v>
      </c>
      <c r="D204" s="53"/>
      <c r="E204" s="52"/>
      <c r="F204" s="52"/>
    </row>
    <row r="205" spans="3:8" ht="48" thickTop="1" x14ac:dyDescent="0.25">
      <c r="C205" s="136" t="s">
        <v>444</v>
      </c>
      <c r="D205" s="57">
        <v>1</v>
      </c>
      <c r="E205" s="54">
        <v>12375</v>
      </c>
      <c r="F205" s="62">
        <f>PRODUCT(D205:E205)</f>
        <v>12375</v>
      </c>
      <c r="G205" s="64"/>
      <c r="H205" s="11" t="s">
        <v>442</v>
      </c>
    </row>
    <row r="206" spans="3:8" ht="31.5" x14ac:dyDescent="0.25">
      <c r="C206" s="136" t="s">
        <v>445</v>
      </c>
      <c r="D206" s="57">
        <v>1</v>
      </c>
      <c r="E206" s="54">
        <v>10500</v>
      </c>
      <c r="F206" s="62">
        <f>PRODUCT(D206:E206)</f>
        <v>10500</v>
      </c>
      <c r="G206" s="64"/>
    </row>
    <row r="207" spans="3:8" ht="31.5" x14ac:dyDescent="0.25">
      <c r="C207" s="136" t="s">
        <v>446</v>
      </c>
      <c r="D207" s="57">
        <v>50</v>
      </c>
      <c r="E207" s="54">
        <v>85</v>
      </c>
      <c r="F207" s="62">
        <f>PRODUCT(D207:E207)</f>
        <v>4250</v>
      </c>
      <c r="G207" s="64"/>
    </row>
    <row r="208" spans="3:8" ht="23.25" x14ac:dyDescent="0.25">
      <c r="C208" s="136" t="s">
        <v>447</v>
      </c>
      <c r="D208" s="57">
        <v>150</v>
      </c>
      <c r="E208" s="54">
        <v>62</v>
      </c>
      <c r="F208" s="62">
        <f>PRODUCT(D208:E208)</f>
        <v>9300</v>
      </c>
      <c r="G208" s="64"/>
    </row>
    <row r="209" spans="3:7" ht="23.25" x14ac:dyDescent="0.25">
      <c r="C209" s="136" t="s">
        <v>448</v>
      </c>
      <c r="D209" s="57">
        <v>70</v>
      </c>
      <c r="E209" s="54">
        <v>85</v>
      </c>
      <c r="F209" s="62">
        <f>PRODUCT(D209:E209)</f>
        <v>5950</v>
      </c>
      <c r="G209" s="64"/>
    </row>
    <row r="210" spans="3:7" ht="23.25" x14ac:dyDescent="0.25">
      <c r="C210" s="136"/>
      <c r="D210" s="57"/>
      <c r="E210" s="54"/>
      <c r="F210" s="54"/>
      <c r="G210" s="64">
        <f>SUM(F205:F209)</f>
        <v>42375</v>
      </c>
    </row>
    <row r="211" spans="3:7" ht="23.25" x14ac:dyDescent="0.25">
      <c r="C211" s="136"/>
      <c r="D211" s="57"/>
      <c r="E211" s="54"/>
      <c r="F211" s="54"/>
      <c r="G211" s="64"/>
    </row>
    <row r="212" spans="3:7" ht="23.25" x14ac:dyDescent="0.25">
      <c r="C212" s="136"/>
      <c r="D212" s="57"/>
      <c r="E212" s="54"/>
      <c r="F212" s="54"/>
      <c r="G212" s="64"/>
    </row>
    <row r="213" spans="3:7" ht="23.25" x14ac:dyDescent="0.25">
      <c r="C213" s="136"/>
      <c r="D213" s="57"/>
      <c r="E213" s="54"/>
      <c r="F213" s="54"/>
      <c r="G213" s="64"/>
    </row>
    <row r="214" spans="3:7" ht="24" thickBot="1" x14ac:dyDescent="0.3">
      <c r="C214" s="136"/>
      <c r="D214" s="57"/>
      <c r="E214" s="54"/>
      <c r="F214" s="54"/>
      <c r="G214" s="64"/>
    </row>
    <row r="215" spans="3:7" ht="24" thickBot="1" x14ac:dyDescent="0.3">
      <c r="C215" s="138" t="s">
        <v>449</v>
      </c>
      <c r="D215" s="139">
        <v>1</v>
      </c>
      <c r="E215" s="139" t="s">
        <v>450</v>
      </c>
      <c r="G215" s="64"/>
    </row>
    <row r="216" spans="3:7" ht="24" thickBot="1" x14ac:dyDescent="0.3">
      <c r="C216" s="140" t="s">
        <v>451</v>
      </c>
      <c r="D216" s="141">
        <v>2000</v>
      </c>
      <c r="E216" s="141">
        <v>55</v>
      </c>
      <c r="G216" s="64"/>
    </row>
    <row r="217" spans="3:7" ht="24" thickBot="1" x14ac:dyDescent="0.3">
      <c r="C217" s="142" t="s">
        <v>452</v>
      </c>
      <c r="D217" s="141">
        <v>1500</v>
      </c>
      <c r="E217" s="141">
        <v>98</v>
      </c>
      <c r="G217" s="64"/>
    </row>
    <row r="218" spans="3:7" ht="24" thickBot="1" x14ac:dyDescent="0.3">
      <c r="C218" s="142" t="s">
        <v>232</v>
      </c>
      <c r="D218" s="141">
        <v>1000</v>
      </c>
      <c r="E218" s="141">
        <v>35</v>
      </c>
      <c r="G218" s="64"/>
    </row>
    <row r="219" spans="3:7" ht="24" thickBot="1" x14ac:dyDescent="0.3">
      <c r="C219" s="140" t="s">
        <v>453</v>
      </c>
      <c r="D219" s="141">
        <v>1500</v>
      </c>
      <c r="E219" s="141">
        <v>92</v>
      </c>
      <c r="G219" s="64"/>
    </row>
    <row r="220" spans="3:7" ht="24" thickBot="1" x14ac:dyDescent="0.3">
      <c r="C220" s="143" t="s">
        <v>454</v>
      </c>
      <c r="D220" s="141">
        <v>1000</v>
      </c>
      <c r="E220" s="141">
        <v>80</v>
      </c>
      <c r="G220" s="64"/>
    </row>
    <row r="221" spans="3:7" ht="24" thickBot="1" x14ac:dyDescent="0.3">
      <c r="C221" s="143" t="s">
        <v>455</v>
      </c>
      <c r="D221" s="141">
        <v>2400</v>
      </c>
      <c r="E221" s="141">
        <v>26</v>
      </c>
      <c r="G221" s="64"/>
    </row>
    <row r="222" spans="3:7" ht="24" thickBot="1" x14ac:dyDescent="0.3">
      <c r="C222" s="143" t="s">
        <v>456</v>
      </c>
      <c r="D222" s="141">
        <v>1000</v>
      </c>
      <c r="E222" s="141">
        <v>15</v>
      </c>
      <c r="G222" s="64"/>
    </row>
    <row r="223" spans="3:7" ht="23.25" x14ac:dyDescent="0.25">
      <c r="C223" s="136"/>
      <c r="D223" s="57"/>
      <c r="E223" s="54"/>
      <c r="F223" s="54"/>
      <c r="G223" s="64"/>
    </row>
    <row r="224" spans="3:7" ht="23.25" x14ac:dyDescent="0.25">
      <c r="C224" s="136"/>
      <c r="D224" s="57"/>
      <c r="E224" s="54"/>
      <c r="F224" s="54"/>
      <c r="G224" s="64"/>
    </row>
    <row r="225" spans="3:10" ht="23.25" x14ac:dyDescent="0.25">
      <c r="C225" s="136"/>
      <c r="D225" s="57"/>
      <c r="E225" s="54"/>
      <c r="F225" s="54"/>
      <c r="G225" s="64"/>
    </row>
    <row r="226" spans="3:10" ht="23.25" x14ac:dyDescent="0.25">
      <c r="C226" s="136"/>
      <c r="D226" s="57"/>
      <c r="E226" s="54"/>
      <c r="F226" s="54"/>
      <c r="G226" s="64"/>
    </row>
    <row r="227" spans="3:10" ht="23.25" x14ac:dyDescent="0.25">
      <c r="C227" s="136"/>
      <c r="D227" s="57"/>
      <c r="E227" s="54"/>
      <c r="F227" s="54"/>
      <c r="G227" s="64"/>
    </row>
    <row r="228" spans="3:10" ht="23.25" x14ac:dyDescent="0.25">
      <c r="C228" s="136"/>
      <c r="D228" s="57"/>
      <c r="E228" s="54"/>
      <c r="F228" s="54"/>
      <c r="G228" s="64"/>
    </row>
    <row r="229" spans="3:10" ht="47.25" x14ac:dyDescent="0.25">
      <c r="C229" s="136" t="s">
        <v>513</v>
      </c>
      <c r="D229" s="57">
        <v>50</v>
      </c>
      <c r="E229" s="54">
        <v>2960</v>
      </c>
      <c r="F229" s="54">
        <f>E229*D229</f>
        <v>148000</v>
      </c>
      <c r="G229" s="64"/>
      <c r="H229" s="57">
        <v>50</v>
      </c>
      <c r="I229" s="54">
        <v>2985</v>
      </c>
      <c r="J229" s="54">
        <f>I229*H229</f>
        <v>149250</v>
      </c>
    </row>
    <row r="230" spans="3:10" ht="23.25" x14ac:dyDescent="0.25">
      <c r="C230" s="136" t="s">
        <v>514</v>
      </c>
      <c r="D230" s="57">
        <v>140</v>
      </c>
      <c r="E230" s="54">
        <v>905</v>
      </c>
      <c r="F230" s="54">
        <f t="shared" ref="F230:F236" si="7">E230*D230</f>
        <v>126700</v>
      </c>
      <c r="G230" s="64"/>
      <c r="H230" s="57">
        <v>140</v>
      </c>
      <c r="I230" s="54">
        <v>910</v>
      </c>
      <c r="J230" s="54">
        <f t="shared" ref="J230:J236" si="8">I230*H230</f>
        <v>127400</v>
      </c>
    </row>
    <row r="231" spans="3:10" ht="31.5" x14ac:dyDescent="0.25">
      <c r="C231" s="136" t="s">
        <v>596</v>
      </c>
      <c r="D231" s="57">
        <v>50</v>
      </c>
      <c r="E231" s="54">
        <v>875</v>
      </c>
      <c r="F231" s="54">
        <f t="shared" si="7"/>
        <v>43750</v>
      </c>
      <c r="G231" s="64"/>
      <c r="H231" s="57">
        <v>50</v>
      </c>
      <c r="I231" s="54">
        <v>886</v>
      </c>
      <c r="J231" s="54">
        <f t="shared" si="8"/>
        <v>44300</v>
      </c>
    </row>
    <row r="232" spans="3:10" ht="31.5" x14ac:dyDescent="0.25">
      <c r="C232" s="136" t="s">
        <v>515</v>
      </c>
      <c r="D232" s="57">
        <v>20</v>
      </c>
      <c r="E232" s="54">
        <v>2200</v>
      </c>
      <c r="F232" s="54">
        <f t="shared" si="7"/>
        <v>44000</v>
      </c>
      <c r="G232" s="64"/>
      <c r="H232" s="57">
        <v>20</v>
      </c>
      <c r="I232" s="54">
        <v>2230</v>
      </c>
      <c r="J232" s="54">
        <f t="shared" si="8"/>
        <v>44600</v>
      </c>
    </row>
    <row r="233" spans="3:10" ht="63" x14ac:dyDescent="0.25">
      <c r="C233" s="136" t="s">
        <v>516</v>
      </c>
      <c r="D233" s="57">
        <v>50</v>
      </c>
      <c r="E233" s="54">
        <v>120</v>
      </c>
      <c r="F233" s="54">
        <f t="shared" si="7"/>
        <v>6000</v>
      </c>
      <c r="G233" s="64"/>
      <c r="H233" s="57">
        <v>50</v>
      </c>
      <c r="I233" s="54">
        <v>125</v>
      </c>
      <c r="J233" s="54">
        <f t="shared" si="8"/>
        <v>6250</v>
      </c>
    </row>
    <row r="234" spans="3:10" ht="47.25" x14ac:dyDescent="0.25">
      <c r="C234" s="136" t="s">
        <v>597</v>
      </c>
      <c r="D234" s="57">
        <v>50</v>
      </c>
      <c r="E234" s="54">
        <v>55</v>
      </c>
      <c r="F234" s="54">
        <f t="shared" si="7"/>
        <v>2750</v>
      </c>
      <c r="G234" s="64"/>
      <c r="H234" s="57">
        <v>50</v>
      </c>
      <c r="I234" s="54">
        <v>60</v>
      </c>
      <c r="J234" s="54">
        <f t="shared" si="8"/>
        <v>3000</v>
      </c>
    </row>
    <row r="235" spans="3:10" ht="31.5" x14ac:dyDescent="0.25">
      <c r="C235" s="136" t="s">
        <v>517</v>
      </c>
      <c r="D235" s="57">
        <v>50</v>
      </c>
      <c r="E235" s="54">
        <v>725</v>
      </c>
      <c r="F235" s="54">
        <f t="shared" si="7"/>
        <v>36250</v>
      </c>
      <c r="G235" s="64"/>
      <c r="H235" s="57">
        <v>50</v>
      </c>
      <c r="I235" s="54">
        <v>732</v>
      </c>
      <c r="J235" s="54">
        <f t="shared" si="8"/>
        <v>36600</v>
      </c>
    </row>
    <row r="236" spans="3:10" ht="47.25" x14ac:dyDescent="0.25">
      <c r="C236" s="136" t="s">
        <v>598</v>
      </c>
      <c r="D236" s="57">
        <v>40</v>
      </c>
      <c r="E236" s="54">
        <v>5960</v>
      </c>
      <c r="F236" s="54">
        <f t="shared" si="7"/>
        <v>238400</v>
      </c>
      <c r="G236" s="64"/>
      <c r="H236" s="57">
        <v>40</v>
      </c>
      <c r="I236" s="54">
        <v>5975</v>
      </c>
      <c r="J236" s="54">
        <f t="shared" si="8"/>
        <v>239000</v>
      </c>
    </row>
    <row r="237" spans="3:10" ht="23.25" x14ac:dyDescent="0.25">
      <c r="C237" s="136"/>
      <c r="D237" s="57"/>
      <c r="E237" s="54"/>
      <c r="F237" s="54">
        <f>SUM(F229:F236)</f>
        <v>645850</v>
      </c>
      <c r="G237" s="64"/>
      <c r="H237" s="57"/>
      <c r="I237" s="54"/>
      <c r="J237" s="54">
        <f>SUM(J229:J236)</f>
        <v>650400</v>
      </c>
    </row>
    <row r="238" spans="3:10" ht="23.25" x14ac:dyDescent="0.25">
      <c r="C238" s="136"/>
      <c r="D238" s="57"/>
      <c r="E238" s="54"/>
      <c r="F238" s="54"/>
      <c r="G238" s="64"/>
    </row>
    <row r="239" spans="3:10" ht="23.25" x14ac:dyDescent="0.25">
      <c r="C239" s="136"/>
      <c r="D239" s="57"/>
      <c r="E239" s="54"/>
      <c r="F239" s="54"/>
      <c r="G239" s="64"/>
    </row>
    <row r="240" spans="3:10" ht="23.25" x14ac:dyDescent="0.25">
      <c r="C240" s="136"/>
      <c r="D240" s="57"/>
      <c r="E240" s="54"/>
      <c r="F240" s="54"/>
      <c r="G240" s="64"/>
    </row>
    <row r="241" spans="3:7" ht="75" x14ac:dyDescent="0.25">
      <c r="C241" s="157" t="s">
        <v>513</v>
      </c>
      <c r="D241" s="157">
        <v>50</v>
      </c>
      <c r="E241" s="157">
        <v>2950</v>
      </c>
      <c r="F241" s="54">
        <f>E241*D241</f>
        <v>147500</v>
      </c>
      <c r="G241" s="64"/>
    </row>
    <row r="242" spans="3:7" ht="23.25" x14ac:dyDescent="0.25">
      <c r="C242" s="157" t="s">
        <v>514</v>
      </c>
      <c r="D242" s="157">
        <v>140</v>
      </c>
      <c r="E242" s="157">
        <v>895</v>
      </c>
      <c r="F242" s="54">
        <f t="shared" ref="F242:F248" si="9">E242*D242</f>
        <v>125300</v>
      </c>
      <c r="G242" s="64"/>
    </row>
    <row r="243" spans="3:7" ht="37.5" x14ac:dyDescent="0.25">
      <c r="C243" s="157" t="s">
        <v>596</v>
      </c>
      <c r="D243" s="157">
        <v>50</v>
      </c>
      <c r="E243" s="157">
        <v>850</v>
      </c>
      <c r="F243" s="54">
        <f t="shared" si="9"/>
        <v>42500</v>
      </c>
      <c r="G243" s="64"/>
    </row>
    <row r="244" spans="3:7" ht="56.25" x14ac:dyDescent="0.25">
      <c r="C244" s="157" t="s">
        <v>515</v>
      </c>
      <c r="D244" s="157">
        <v>20</v>
      </c>
      <c r="E244" s="157">
        <v>2177</v>
      </c>
      <c r="F244" s="54">
        <f t="shared" si="9"/>
        <v>43540</v>
      </c>
      <c r="G244" s="64"/>
    </row>
    <row r="245" spans="3:7" ht="75" x14ac:dyDescent="0.25">
      <c r="C245" s="157" t="s">
        <v>516</v>
      </c>
      <c r="D245" s="157">
        <v>50</v>
      </c>
      <c r="E245" s="157">
        <v>100</v>
      </c>
      <c r="F245" s="54">
        <f t="shared" si="9"/>
        <v>5000</v>
      </c>
      <c r="G245" s="64"/>
    </row>
    <row r="246" spans="3:7" ht="75" x14ac:dyDescent="0.25">
      <c r="C246" s="157" t="s">
        <v>597</v>
      </c>
      <c r="D246" s="157">
        <v>50</v>
      </c>
      <c r="E246" s="157">
        <v>45</v>
      </c>
      <c r="F246" s="54">
        <f t="shared" si="9"/>
        <v>2250</v>
      </c>
      <c r="G246" s="64"/>
    </row>
    <row r="247" spans="3:7" ht="37.5" x14ac:dyDescent="0.25">
      <c r="C247" s="157" t="s">
        <v>517</v>
      </c>
      <c r="D247" s="157">
        <v>50</v>
      </c>
      <c r="E247" s="157">
        <v>700</v>
      </c>
      <c r="F247" s="54">
        <f t="shared" si="9"/>
        <v>35000</v>
      </c>
      <c r="G247" s="64"/>
    </row>
    <row r="248" spans="3:7" ht="75" x14ac:dyDescent="0.25">
      <c r="C248" s="157" t="s">
        <v>598</v>
      </c>
      <c r="D248" s="157">
        <v>40</v>
      </c>
      <c r="E248" s="157">
        <v>5900</v>
      </c>
      <c r="F248" s="54">
        <f t="shared" si="9"/>
        <v>236000</v>
      </c>
      <c r="G248" s="64"/>
    </row>
    <row r="249" spans="3:7" ht="23.25" x14ac:dyDescent="0.25">
      <c r="C249" s="136"/>
      <c r="D249" s="57"/>
      <c r="E249" s="54"/>
      <c r="F249" s="54">
        <f>SUM(F241:F248)</f>
        <v>637090</v>
      </c>
      <c r="G249" s="64"/>
    </row>
    <row r="250" spans="3:7" ht="23.25" x14ac:dyDescent="0.25">
      <c r="C250" s="136"/>
      <c r="D250" s="57"/>
      <c r="E250" s="54"/>
      <c r="F250" s="54"/>
      <c r="G250" s="64"/>
    </row>
    <row r="251" spans="3:7" ht="23.25" x14ac:dyDescent="0.25">
      <c r="C251" s="136"/>
      <c r="D251" s="57"/>
      <c r="E251" s="54"/>
      <c r="F251" s="54"/>
      <c r="G251" s="64"/>
    </row>
    <row r="252" spans="3:7" ht="23.25" x14ac:dyDescent="0.25">
      <c r="C252" s="136"/>
      <c r="D252" s="57"/>
      <c r="E252" s="54"/>
      <c r="F252" s="54"/>
      <c r="G252" s="64"/>
    </row>
    <row r="253" spans="3:7" ht="23.25" x14ac:dyDescent="0.25">
      <c r="C253" s="136"/>
      <c r="D253" s="57"/>
      <c r="E253" s="54"/>
      <c r="F253" s="54"/>
      <c r="G253" s="64"/>
    </row>
    <row r="254" spans="3:7" ht="23.25" x14ac:dyDescent="0.25">
      <c r="C254" s="315">
        <v>360</v>
      </c>
      <c r="D254" s="315">
        <v>580</v>
      </c>
      <c r="E254" s="315">
        <v>208800</v>
      </c>
      <c r="F254" s="54"/>
      <c r="G254" s="64"/>
    </row>
    <row r="255" spans="3:7" ht="23.25" x14ac:dyDescent="0.25">
      <c r="C255" s="315">
        <v>15</v>
      </c>
      <c r="D255" s="315">
        <v>1895</v>
      </c>
      <c r="E255" s="315">
        <v>28425</v>
      </c>
      <c r="F255" s="54"/>
      <c r="G255" s="64"/>
    </row>
    <row r="256" spans="3:7" ht="23.25" x14ac:dyDescent="0.25">
      <c r="C256" s="315">
        <v>1000</v>
      </c>
      <c r="D256" s="315">
        <v>100</v>
      </c>
      <c r="E256" s="315">
        <v>100000</v>
      </c>
      <c r="F256" s="54"/>
      <c r="G256" s="64"/>
    </row>
    <row r="257" spans="3:7" ht="23.25" x14ac:dyDescent="0.25">
      <c r="C257" s="136"/>
      <c r="D257" s="57"/>
      <c r="E257" s="54">
        <f>SUM(E254:E256)</f>
        <v>337225</v>
      </c>
      <c r="F257" s="54"/>
      <c r="G257" s="64"/>
    </row>
    <row r="258" spans="3:7" ht="23.25" x14ac:dyDescent="0.25">
      <c r="C258" s="136"/>
      <c r="D258" s="57"/>
      <c r="E258" s="54"/>
      <c r="F258" s="54"/>
      <c r="G258" s="64"/>
    </row>
    <row r="259" spans="3:7" ht="23.25" x14ac:dyDescent="0.25">
      <c r="C259" s="315">
        <v>850</v>
      </c>
      <c r="D259" s="315">
        <v>750</v>
      </c>
      <c r="E259" s="315">
        <v>637500</v>
      </c>
      <c r="F259" s="54"/>
      <c r="G259" s="64"/>
    </row>
    <row r="260" spans="3:7" ht="23.25" x14ac:dyDescent="0.25">
      <c r="C260" s="315">
        <v>150</v>
      </c>
      <c r="D260" s="315">
        <v>750</v>
      </c>
      <c r="E260" s="315">
        <v>112500</v>
      </c>
      <c r="F260" s="54"/>
      <c r="G260" s="64"/>
    </row>
    <row r="261" spans="3:7" ht="23.25" x14ac:dyDescent="0.25">
      <c r="C261" s="315">
        <v>1000</v>
      </c>
      <c r="D261" s="315">
        <v>80</v>
      </c>
      <c r="E261" s="315">
        <v>80000</v>
      </c>
      <c r="F261" s="54"/>
      <c r="G261" s="64"/>
    </row>
    <row r="262" spans="3:7" ht="23.25" x14ac:dyDescent="0.25">
      <c r="C262" s="136"/>
      <c r="D262" s="57"/>
      <c r="E262" s="54">
        <f>SUM(E259:E261)</f>
        <v>830000</v>
      </c>
      <c r="F262" s="54"/>
      <c r="G262" s="64"/>
    </row>
    <row r="263" spans="3:7" ht="23.25" x14ac:dyDescent="0.25">
      <c r="C263" s="136"/>
      <c r="D263" s="57"/>
      <c r="E263" s="57"/>
      <c r="F263" s="54"/>
      <c r="G263" s="64"/>
    </row>
    <row r="264" spans="3:7" ht="23.25" x14ac:dyDescent="0.25">
      <c r="C264" s="136"/>
      <c r="D264" s="57"/>
      <c r="E264" s="57"/>
      <c r="F264" s="54"/>
      <c r="G264" s="64"/>
    </row>
    <row r="265" spans="3:7" ht="23.25" x14ac:dyDescent="0.25">
      <c r="C265" s="136"/>
      <c r="D265" s="57"/>
      <c r="E265" s="57"/>
      <c r="F265" s="54"/>
      <c r="G265" s="64"/>
    </row>
    <row r="266" spans="3:7" ht="23.25" x14ac:dyDescent="0.25">
      <c r="C266" s="136"/>
      <c r="D266" s="57"/>
      <c r="E266" s="57"/>
      <c r="F266" s="54"/>
      <c r="G266" s="64"/>
    </row>
    <row r="267" spans="3:7" ht="23.25" x14ac:dyDescent="0.25">
      <c r="C267" s="136"/>
      <c r="D267" s="57"/>
      <c r="E267" s="57"/>
      <c r="F267" s="54"/>
      <c r="G267" s="64"/>
    </row>
    <row r="268" spans="3:7" ht="23.25" x14ac:dyDescent="0.25">
      <c r="C268" s="136"/>
      <c r="D268" s="57"/>
      <c r="E268" s="57"/>
      <c r="F268" s="54"/>
      <c r="G268" s="64"/>
    </row>
    <row r="269" spans="3:7" ht="23.25" x14ac:dyDescent="0.25">
      <c r="C269" s="136"/>
      <c r="D269" s="57"/>
      <c r="E269" s="57"/>
      <c r="F269" s="54"/>
      <c r="G269" s="64"/>
    </row>
    <row r="270" spans="3:7" ht="23.25" x14ac:dyDescent="0.25">
      <c r="C270" s="136"/>
      <c r="D270" s="57"/>
      <c r="E270" s="57"/>
      <c r="F270" s="54"/>
      <c r="G270" s="64"/>
    </row>
    <row r="271" spans="3:7" ht="23.25" x14ac:dyDescent="0.25">
      <c r="C271" s="136"/>
      <c r="D271" s="57"/>
      <c r="E271" s="57"/>
      <c r="F271" s="54"/>
      <c r="G271" s="64"/>
    </row>
    <row r="272" spans="3:7" ht="23.25" x14ac:dyDescent="0.25">
      <c r="C272" s="136"/>
      <c r="D272" s="57"/>
      <c r="E272" s="57"/>
      <c r="F272" s="54"/>
      <c r="G272" s="64"/>
    </row>
    <row r="273" spans="3:7" ht="23.25" x14ac:dyDescent="0.25">
      <c r="C273" s="136"/>
      <c r="D273" s="57"/>
      <c r="E273" s="57"/>
      <c r="F273" s="54"/>
      <c r="G273" s="64"/>
    </row>
    <row r="274" spans="3:7" ht="23.25" x14ac:dyDescent="0.25">
      <c r="C274" s="136"/>
      <c r="D274" s="57"/>
      <c r="E274" s="54"/>
      <c r="F274" s="54"/>
      <c r="G274" s="64"/>
    </row>
    <row r="275" spans="3:7" ht="23.25" x14ac:dyDescent="0.25">
      <c r="C275" s="136"/>
      <c r="D275" s="57"/>
      <c r="E275" s="54">
        <v>320</v>
      </c>
      <c r="F275" s="57" t="s">
        <v>293</v>
      </c>
      <c r="G275" s="64"/>
    </row>
    <row r="276" spans="3:7" ht="23.25" x14ac:dyDescent="0.25">
      <c r="C276" s="136"/>
      <c r="D276" s="57"/>
      <c r="E276" s="54">
        <v>70</v>
      </c>
      <c r="F276" s="57" t="s">
        <v>293</v>
      </c>
      <c r="G276" s="64"/>
    </row>
    <row r="277" spans="3:7" ht="23.25" x14ac:dyDescent="0.25">
      <c r="C277" s="136"/>
      <c r="D277" s="57"/>
      <c r="E277" s="54">
        <v>4</v>
      </c>
      <c r="F277" s="57" t="s">
        <v>293</v>
      </c>
      <c r="G277" s="64"/>
    </row>
    <row r="278" spans="3:7" ht="23.25" x14ac:dyDescent="0.25">
      <c r="C278" s="136"/>
      <c r="D278" s="57"/>
      <c r="E278" s="54">
        <v>3</v>
      </c>
      <c r="F278" s="57" t="s">
        <v>293</v>
      </c>
      <c r="G278" s="64"/>
    </row>
    <row r="279" spans="3:7" ht="23.25" x14ac:dyDescent="0.25">
      <c r="C279" s="136"/>
      <c r="D279" s="57"/>
      <c r="E279" s="54">
        <v>11</v>
      </c>
      <c r="F279" s="57" t="s">
        <v>293</v>
      </c>
      <c r="G279" s="64"/>
    </row>
    <row r="280" spans="3:7" ht="23.25" x14ac:dyDescent="0.25">
      <c r="C280" s="136"/>
      <c r="D280" s="57"/>
      <c r="E280" s="54">
        <v>1</v>
      </c>
      <c r="F280" s="57" t="s">
        <v>293</v>
      </c>
      <c r="G280" s="64"/>
    </row>
    <row r="281" spans="3:7" ht="23.25" x14ac:dyDescent="0.25">
      <c r="C281" s="136"/>
      <c r="D281" s="57"/>
      <c r="E281" s="54">
        <v>2</v>
      </c>
      <c r="F281" s="57" t="s">
        <v>293</v>
      </c>
      <c r="G281" s="64"/>
    </row>
    <row r="282" spans="3:7" ht="23.25" x14ac:dyDescent="0.25">
      <c r="C282" s="136"/>
      <c r="D282" s="57"/>
      <c r="E282" s="54">
        <v>3</v>
      </c>
      <c r="F282" s="57" t="s">
        <v>293</v>
      </c>
      <c r="G282" s="64"/>
    </row>
    <row r="283" spans="3:7" ht="23.25" x14ac:dyDescent="0.25">
      <c r="C283" s="136"/>
      <c r="D283" s="57"/>
      <c r="E283" s="54">
        <v>3</v>
      </c>
      <c r="F283" s="57" t="s">
        <v>293</v>
      </c>
      <c r="G283" s="64"/>
    </row>
    <row r="284" spans="3:7" ht="23.25" x14ac:dyDescent="0.25">
      <c r="C284" s="136"/>
      <c r="D284" s="57"/>
      <c r="E284" s="54">
        <v>1</v>
      </c>
      <c r="F284" s="57" t="s">
        <v>293</v>
      </c>
      <c r="G284" s="64"/>
    </row>
    <row r="285" spans="3:7" ht="23.25" x14ac:dyDescent="0.25">
      <c r="C285" s="136"/>
      <c r="D285" s="57"/>
      <c r="E285" s="54">
        <v>2</v>
      </c>
      <c r="F285" s="57" t="s">
        <v>293</v>
      </c>
      <c r="G285" s="64"/>
    </row>
    <row r="286" spans="3:7" ht="23.25" x14ac:dyDescent="0.25">
      <c r="C286" s="136"/>
      <c r="D286" s="57"/>
      <c r="E286" s="54">
        <f>SUM(E275:E285)</f>
        <v>420</v>
      </c>
      <c r="F286" s="54" t="s">
        <v>469</v>
      </c>
      <c r="G286" s="64"/>
    </row>
    <row r="287" spans="3:7" ht="23.25" x14ac:dyDescent="0.25">
      <c r="C287" s="136"/>
      <c r="D287" s="57"/>
      <c r="E287" s="54"/>
      <c r="F287" s="54"/>
      <c r="G287" s="64"/>
    </row>
    <row r="288" spans="3:7" ht="23.25" x14ac:dyDescent="0.25">
      <c r="C288" s="136"/>
      <c r="D288" s="57"/>
      <c r="E288" s="54"/>
      <c r="F288" s="54"/>
      <c r="G288" s="64"/>
    </row>
    <row r="289" spans="3:7" ht="23.25" x14ac:dyDescent="0.25">
      <c r="C289" s="136"/>
      <c r="D289" s="57"/>
      <c r="E289" s="54"/>
      <c r="F289" s="54"/>
      <c r="G289" s="64"/>
    </row>
    <row r="290" spans="3:7" ht="23.25" x14ac:dyDescent="0.25">
      <c r="C290" s="136"/>
      <c r="D290" s="57"/>
      <c r="E290" s="54"/>
      <c r="F290" s="54"/>
      <c r="G290" s="64"/>
    </row>
    <row r="291" spans="3:7" ht="23.25" x14ac:dyDescent="0.25">
      <c r="C291" s="136"/>
      <c r="D291" s="57"/>
      <c r="E291" s="54"/>
      <c r="F291" s="54"/>
      <c r="G291" s="64"/>
    </row>
    <row r="292" spans="3:7" ht="23.25" x14ac:dyDescent="0.25">
      <c r="C292" s="136"/>
      <c r="D292" s="57"/>
      <c r="E292" s="54"/>
      <c r="F292" s="54"/>
      <c r="G292" s="64"/>
    </row>
    <row r="293" spans="3:7" ht="23.25" x14ac:dyDescent="0.25">
      <c r="C293" s="136"/>
      <c r="D293" s="57"/>
      <c r="E293" s="54"/>
      <c r="F293" s="54"/>
      <c r="G293" s="64"/>
    </row>
    <row r="294" spans="3:7" ht="23.25" x14ac:dyDescent="0.25">
      <c r="C294" s="136"/>
      <c r="D294" s="57"/>
      <c r="E294" s="54"/>
      <c r="F294" s="54"/>
      <c r="G294" s="64"/>
    </row>
    <row r="295" spans="3:7" ht="23.25" x14ac:dyDescent="0.25">
      <c r="C295" s="136"/>
      <c r="D295" s="57"/>
      <c r="E295" s="54"/>
      <c r="F295" s="54"/>
      <c r="G295" s="64"/>
    </row>
    <row r="296" spans="3:7" ht="23.25" x14ac:dyDescent="0.25">
      <c r="C296" s="136"/>
      <c r="D296" s="57"/>
      <c r="E296" s="54"/>
      <c r="F296" s="54"/>
      <c r="G296" s="64"/>
    </row>
    <row r="297" spans="3:7" ht="23.25" x14ac:dyDescent="0.25">
      <c r="C297" s="136"/>
      <c r="D297" s="57"/>
      <c r="E297" s="54"/>
      <c r="F297" s="54"/>
      <c r="G297" s="64"/>
    </row>
    <row r="298" spans="3:7" ht="23.25" x14ac:dyDescent="0.25">
      <c r="C298" s="136"/>
      <c r="D298" s="57"/>
      <c r="E298" s="54"/>
      <c r="F298" s="54"/>
      <c r="G298" s="64"/>
    </row>
    <row r="299" spans="3:7" ht="23.25" x14ac:dyDescent="0.25">
      <c r="C299" s="136"/>
      <c r="D299" s="57"/>
      <c r="E299" s="54"/>
      <c r="F299" s="54"/>
      <c r="G299" s="64"/>
    </row>
    <row r="300" spans="3:7" ht="23.25" x14ac:dyDescent="0.25">
      <c r="C300" s="136"/>
      <c r="D300" s="57"/>
      <c r="E300" s="54"/>
      <c r="F300" s="54"/>
      <c r="G300" s="64"/>
    </row>
    <row r="301" spans="3:7" ht="23.25" x14ac:dyDescent="0.25">
      <c r="C301" s="136"/>
      <c r="D301" s="57"/>
      <c r="E301" s="54"/>
      <c r="F301" s="54"/>
      <c r="G301" s="64"/>
    </row>
    <row r="302" spans="3:7" ht="23.25" x14ac:dyDescent="0.25">
      <c r="C302" s="136"/>
      <c r="D302" s="57"/>
      <c r="E302" s="54"/>
      <c r="F302" s="54"/>
      <c r="G302" s="64"/>
    </row>
    <row r="303" spans="3:7" ht="23.25" x14ac:dyDescent="0.25">
      <c r="C303" s="136"/>
      <c r="D303" s="57"/>
      <c r="E303" s="54"/>
      <c r="F303" s="54"/>
      <c r="G303" s="64"/>
    </row>
    <row r="304" spans="3:7" ht="23.25" x14ac:dyDescent="0.25">
      <c r="C304" s="136"/>
      <c r="D304" s="57"/>
      <c r="E304" s="54"/>
      <c r="F304" s="54"/>
      <c r="G304" s="64"/>
    </row>
    <row r="305" spans="3:7" ht="23.25" x14ac:dyDescent="0.25">
      <c r="C305" s="136"/>
      <c r="D305" s="57"/>
      <c r="E305" s="54"/>
      <c r="F305" s="54"/>
      <c r="G305" s="64"/>
    </row>
    <row r="306" spans="3:7" ht="23.25" x14ac:dyDescent="0.25">
      <c r="C306" s="136"/>
      <c r="D306" s="57"/>
      <c r="E306" s="54"/>
      <c r="F306" s="54"/>
      <c r="G306" s="64"/>
    </row>
    <row r="307" spans="3:7" ht="23.25" x14ac:dyDescent="0.25">
      <c r="C307" s="136"/>
      <c r="D307" s="57"/>
      <c r="E307" s="54"/>
      <c r="F307" s="54"/>
      <c r="G307" s="64"/>
    </row>
    <row r="308" spans="3:7" ht="23.25" x14ac:dyDescent="0.25">
      <c r="C308" s="136"/>
      <c r="D308" s="57"/>
      <c r="E308" s="54"/>
      <c r="F308" s="54"/>
      <c r="G308" s="64"/>
    </row>
    <row r="309" spans="3:7" ht="23.25" x14ac:dyDescent="0.25">
      <c r="C309" s="136"/>
      <c r="D309" s="57"/>
      <c r="E309" s="54"/>
      <c r="F309" s="54"/>
      <c r="G309" s="64"/>
    </row>
    <row r="310" spans="3:7" ht="23.25" x14ac:dyDescent="0.25">
      <c r="C310" s="136"/>
      <c r="D310" s="57"/>
      <c r="E310" s="54"/>
      <c r="F310" s="54"/>
      <c r="G310" s="64"/>
    </row>
    <row r="311" spans="3:7" ht="23.25" x14ac:dyDescent="0.25">
      <c r="C311" s="136"/>
      <c r="D311" s="57"/>
      <c r="E311" s="54"/>
      <c r="F311" s="54"/>
      <c r="G311" s="64"/>
    </row>
    <row r="312" spans="3:7" ht="23.25" x14ac:dyDescent="0.25">
      <c r="C312" s="136"/>
      <c r="D312" s="57"/>
      <c r="E312" s="54"/>
      <c r="F312" s="54"/>
      <c r="G312" s="64"/>
    </row>
    <row r="313" spans="3:7" ht="23.25" x14ac:dyDescent="0.25">
      <c r="C313" s="136"/>
      <c r="D313" s="57"/>
      <c r="E313" s="54"/>
      <c r="F313" s="54"/>
      <c r="G313" s="64"/>
    </row>
    <row r="314" spans="3:7" ht="23.25" x14ac:dyDescent="0.25">
      <c r="C314" s="136"/>
      <c r="D314" s="57"/>
      <c r="E314" s="54"/>
      <c r="F314" s="54"/>
      <c r="G314" s="64"/>
    </row>
    <row r="315" spans="3:7" ht="23.25" x14ac:dyDescent="0.25">
      <c r="C315" s="136"/>
      <c r="D315" s="57"/>
      <c r="E315" s="54"/>
      <c r="F315" s="54"/>
      <c r="G315" s="64"/>
    </row>
    <row r="316" spans="3:7" ht="23.25" x14ac:dyDescent="0.25">
      <c r="C316" s="136"/>
      <c r="D316" s="57"/>
      <c r="E316" s="54"/>
      <c r="F316" s="54"/>
      <c r="G316" s="64"/>
    </row>
    <row r="317" spans="3:7" ht="23.25" x14ac:dyDescent="0.25">
      <c r="C317" s="136"/>
      <c r="D317" s="57"/>
      <c r="E317" s="54"/>
      <c r="F317" s="54"/>
      <c r="G317" s="64"/>
    </row>
    <row r="318" spans="3:7" ht="23.25" x14ac:dyDescent="0.25">
      <c r="C318" s="136"/>
      <c r="D318" s="57"/>
      <c r="E318" s="54"/>
      <c r="F318" s="54"/>
      <c r="G318" s="64"/>
    </row>
    <row r="319" spans="3:7" ht="23.25" x14ac:dyDescent="0.25">
      <c r="C319" s="136"/>
      <c r="D319" s="57"/>
      <c r="E319" s="54"/>
      <c r="F319" s="54"/>
      <c r="G319" s="64"/>
    </row>
    <row r="320" spans="3:7" ht="23.25" x14ac:dyDescent="0.25">
      <c r="C320" s="136"/>
      <c r="D320" s="57"/>
      <c r="E320" s="54"/>
      <c r="F320" s="54"/>
      <c r="G320" s="64"/>
    </row>
    <row r="321" spans="3:7" ht="23.25" x14ac:dyDescent="0.25">
      <c r="C321" s="136"/>
      <c r="D321" s="57"/>
      <c r="E321" s="54"/>
      <c r="F321" s="54"/>
      <c r="G321" s="64"/>
    </row>
    <row r="322" spans="3:7" ht="23.25" x14ac:dyDescent="0.25">
      <c r="C322" s="136"/>
      <c r="D322" s="57"/>
      <c r="E322" s="54"/>
      <c r="F322" s="54"/>
      <c r="G322" s="64"/>
    </row>
    <row r="323" spans="3:7" ht="23.25" x14ac:dyDescent="0.25">
      <c r="C323" s="136"/>
      <c r="D323" s="57"/>
      <c r="E323" s="54"/>
      <c r="F323" s="54"/>
      <c r="G323" s="64"/>
    </row>
    <row r="324" spans="3:7" ht="23.25" x14ac:dyDescent="0.25">
      <c r="C324" s="136"/>
      <c r="D324" s="57"/>
      <c r="E324" s="54"/>
      <c r="F324" s="54"/>
      <c r="G324" s="64"/>
    </row>
    <row r="325" spans="3:7" ht="23.25" x14ac:dyDescent="0.25">
      <c r="C325" s="136"/>
      <c r="D325" s="57"/>
      <c r="E325" s="54"/>
      <c r="F325" s="54"/>
      <c r="G325" s="64"/>
    </row>
    <row r="326" spans="3:7" ht="23.25" x14ac:dyDescent="0.25">
      <c r="C326" s="136"/>
      <c r="D326" s="57"/>
      <c r="E326" s="54"/>
      <c r="F326" s="54"/>
      <c r="G326" s="64"/>
    </row>
    <row r="327" spans="3:7" ht="23.25" x14ac:dyDescent="0.25">
      <c r="C327" s="136"/>
      <c r="D327" s="57"/>
      <c r="E327" s="54"/>
      <c r="F327" s="54"/>
      <c r="G327" s="64"/>
    </row>
    <row r="328" spans="3:7" ht="23.25" x14ac:dyDescent="0.25">
      <c r="C328" s="136"/>
      <c r="D328" s="57"/>
      <c r="E328" s="54"/>
      <c r="F328" s="54"/>
      <c r="G328" s="64"/>
    </row>
    <row r="329" spans="3:7" ht="23.25" x14ac:dyDescent="0.25">
      <c r="C329" s="136"/>
      <c r="D329" s="57"/>
      <c r="E329" s="54"/>
      <c r="F329" s="54"/>
      <c r="G329" s="64"/>
    </row>
    <row r="330" spans="3:7" ht="23.25" x14ac:dyDescent="0.25">
      <c r="C330" s="136"/>
      <c r="D330" s="57"/>
      <c r="E330" s="54"/>
      <c r="F330" s="54"/>
      <c r="G330" s="64"/>
    </row>
    <row r="331" spans="3:7" ht="23.25" x14ac:dyDescent="0.25">
      <c r="C331" s="136"/>
      <c r="D331" s="57"/>
      <c r="E331" s="54"/>
      <c r="F331" s="54"/>
      <c r="G331" s="64"/>
    </row>
    <row r="332" spans="3:7" ht="23.25" x14ac:dyDescent="0.25">
      <c r="C332" s="136"/>
      <c r="D332" s="57"/>
      <c r="E332" s="54"/>
      <c r="F332" s="54"/>
      <c r="G332" s="64"/>
    </row>
    <row r="333" spans="3:7" ht="23.25" x14ac:dyDescent="0.25">
      <c r="C333" s="136"/>
      <c r="D333" s="57"/>
      <c r="E333" s="54"/>
      <c r="F333" s="54"/>
      <c r="G333" s="64"/>
    </row>
    <row r="334" spans="3:7" ht="23.25" x14ac:dyDescent="0.25">
      <c r="C334" s="136"/>
      <c r="D334" s="57"/>
      <c r="E334" s="54"/>
      <c r="F334" s="54"/>
      <c r="G334" s="64"/>
    </row>
    <row r="335" spans="3:7" ht="23.25" x14ac:dyDescent="0.25">
      <c r="C335" s="136"/>
      <c r="D335" s="57"/>
      <c r="E335" s="54"/>
      <c r="F335" s="54"/>
      <c r="G335" s="64"/>
    </row>
    <row r="336" spans="3:7" ht="23.25" x14ac:dyDescent="0.25">
      <c r="C336" s="136"/>
      <c r="D336" s="57"/>
      <c r="E336" s="54"/>
      <c r="F336" s="54"/>
      <c r="G336" s="64"/>
    </row>
    <row r="337" spans="3:7" ht="23.25" x14ac:dyDescent="0.25">
      <c r="C337" s="136"/>
      <c r="D337" s="57"/>
      <c r="E337" s="54"/>
      <c r="F337" s="54"/>
      <c r="G337" s="64"/>
    </row>
    <row r="338" spans="3:7" ht="23.25" x14ac:dyDescent="0.25">
      <c r="C338" s="136"/>
      <c r="D338" s="57"/>
      <c r="E338" s="54"/>
      <c r="F338" s="54"/>
      <c r="G338" s="64"/>
    </row>
    <row r="339" spans="3:7" ht="23.25" x14ac:dyDescent="0.25">
      <c r="C339" s="136"/>
      <c r="D339" s="57"/>
      <c r="E339" s="54"/>
      <c r="F339" s="54"/>
      <c r="G339" s="64"/>
    </row>
    <row r="340" spans="3:7" ht="23.25" x14ac:dyDescent="0.25">
      <c r="C340" s="136"/>
      <c r="D340" s="57"/>
      <c r="E340" s="54"/>
      <c r="F340" s="54"/>
      <c r="G340" s="64"/>
    </row>
    <row r="341" spans="3:7" ht="23.25" x14ac:dyDescent="0.25">
      <c r="C341" s="136"/>
      <c r="D341" s="57"/>
      <c r="E341" s="54"/>
      <c r="F341" s="54"/>
      <c r="G341" s="64"/>
    </row>
    <row r="342" spans="3:7" ht="23.25" x14ac:dyDescent="0.25">
      <c r="C342" s="136"/>
      <c r="D342" s="57"/>
      <c r="E342" s="54"/>
      <c r="F342" s="54"/>
      <c r="G342" s="64"/>
    </row>
    <row r="343" spans="3:7" ht="23.25" x14ac:dyDescent="0.25">
      <c r="C343" s="136"/>
      <c r="D343" s="57"/>
      <c r="E343" s="54"/>
      <c r="F343" s="54"/>
      <c r="G343" s="64"/>
    </row>
    <row r="344" spans="3:7" ht="23.25" x14ac:dyDescent="0.25">
      <c r="C344" s="136"/>
      <c r="D344" s="57"/>
      <c r="E344" s="54"/>
      <c r="F344" s="54"/>
      <c r="G344" s="64"/>
    </row>
    <row r="345" spans="3:7" ht="23.25" x14ac:dyDescent="0.25">
      <c r="C345" s="136"/>
      <c r="D345" s="57"/>
      <c r="E345" s="54"/>
      <c r="F345" s="54"/>
      <c r="G345" s="64"/>
    </row>
    <row r="346" spans="3:7" ht="23.25" x14ac:dyDescent="0.25">
      <c r="C346" s="136"/>
      <c r="D346" s="57"/>
      <c r="E346" s="54"/>
      <c r="F346" s="54"/>
      <c r="G346" s="64"/>
    </row>
    <row r="347" spans="3:7" ht="23.25" x14ac:dyDescent="0.25">
      <c r="C347" s="136"/>
      <c r="D347" s="57"/>
      <c r="E347" s="54"/>
      <c r="F347" s="54"/>
      <c r="G347" s="64"/>
    </row>
    <row r="348" spans="3:7" ht="23.25" x14ac:dyDescent="0.25">
      <c r="C348" s="136"/>
      <c r="D348" s="57"/>
      <c r="E348" s="54"/>
      <c r="F348" s="54"/>
      <c r="G348" s="64"/>
    </row>
    <row r="349" spans="3:7" ht="23.25" x14ac:dyDescent="0.25">
      <c r="C349" s="136"/>
      <c r="D349" s="57"/>
      <c r="E349" s="54"/>
      <c r="F349" s="54"/>
      <c r="G349" s="64"/>
    </row>
    <row r="350" spans="3:7" ht="23.25" x14ac:dyDescent="0.25">
      <c r="C350" s="136"/>
      <c r="D350" s="57"/>
      <c r="E350" s="54"/>
      <c r="F350" s="54"/>
      <c r="G350" s="64"/>
    </row>
    <row r="351" spans="3:7" ht="23.25" x14ac:dyDescent="0.25">
      <c r="C351" s="136"/>
      <c r="D351" s="57"/>
      <c r="E351" s="54"/>
      <c r="F351" s="54"/>
      <c r="G351" s="64"/>
    </row>
    <row r="352" spans="3:7" ht="23.25" x14ac:dyDescent="0.25">
      <c r="C352" s="136"/>
      <c r="D352" s="57"/>
      <c r="E352" s="54"/>
      <c r="F352" s="54"/>
      <c r="G352" s="64"/>
    </row>
    <row r="353" spans="3:7" ht="23.25" x14ac:dyDescent="0.25">
      <c r="C353" s="136"/>
      <c r="D353" s="57"/>
      <c r="E353" s="54"/>
      <c r="F353" s="54"/>
      <c r="G353" s="64"/>
    </row>
    <row r="354" spans="3:7" ht="23.25" x14ac:dyDescent="0.25">
      <c r="C354" s="136"/>
      <c r="D354" s="57"/>
      <c r="E354" s="54"/>
      <c r="F354" s="54"/>
      <c r="G354" s="64"/>
    </row>
    <row r="355" spans="3:7" ht="23.25" x14ac:dyDescent="0.25">
      <c r="C355" s="136"/>
      <c r="D355" s="57"/>
      <c r="E355" s="54"/>
      <c r="F355" s="54"/>
      <c r="G355" s="64"/>
    </row>
    <row r="356" spans="3:7" ht="23.25" x14ac:dyDescent="0.25">
      <c r="C356" s="136"/>
      <c r="D356" s="57"/>
      <c r="E356" s="54"/>
      <c r="F356" s="54"/>
      <c r="G356" s="64"/>
    </row>
    <row r="357" spans="3:7" ht="23.25" x14ac:dyDescent="0.25">
      <c r="C357" s="136"/>
      <c r="D357" s="57"/>
      <c r="E357" s="54"/>
      <c r="F357" s="54"/>
      <c r="G357" s="64"/>
    </row>
    <row r="358" spans="3:7" ht="23.25" x14ac:dyDescent="0.25">
      <c r="C358" s="136"/>
      <c r="D358" s="57"/>
      <c r="E358" s="54"/>
      <c r="F358" s="54"/>
      <c r="G358" s="64"/>
    </row>
    <row r="359" spans="3:7" ht="23.25" x14ac:dyDescent="0.25">
      <c r="C359" s="136"/>
      <c r="D359" s="57"/>
      <c r="E359" s="54"/>
      <c r="F359" s="54"/>
      <c r="G359" s="64"/>
    </row>
    <row r="360" spans="3:7" ht="23.25" x14ac:dyDescent="0.25">
      <c r="C360" s="136"/>
      <c r="D360" s="57"/>
      <c r="E360" s="54"/>
      <c r="F360" s="54"/>
      <c r="G360" s="64"/>
    </row>
    <row r="361" spans="3:7" ht="23.25" x14ac:dyDescent="0.25">
      <c r="C361" s="136"/>
      <c r="D361" s="57"/>
      <c r="E361" s="54"/>
      <c r="F361" s="54"/>
      <c r="G361" s="64"/>
    </row>
    <row r="362" spans="3:7" ht="23.25" x14ac:dyDescent="0.25">
      <c r="C362" s="136"/>
      <c r="D362" s="57"/>
      <c r="E362" s="54"/>
      <c r="F362" s="54"/>
      <c r="G362" s="64"/>
    </row>
    <row r="363" spans="3:7" ht="23.25" x14ac:dyDescent="0.25">
      <c r="C363" s="136"/>
      <c r="D363" s="57"/>
      <c r="E363" s="54"/>
      <c r="F363" s="54"/>
      <c r="G363" s="64"/>
    </row>
    <row r="364" spans="3:7" ht="23.25" x14ac:dyDescent="0.25">
      <c r="C364" s="136"/>
      <c r="D364" s="57"/>
      <c r="E364" s="54"/>
      <c r="F364" s="54"/>
      <c r="G364" s="64"/>
    </row>
    <row r="365" spans="3:7" ht="23.25" x14ac:dyDescent="0.25">
      <c r="C365" s="136"/>
      <c r="D365" s="57"/>
      <c r="E365" s="54"/>
      <c r="F365" s="54"/>
      <c r="G365" s="64"/>
    </row>
    <row r="366" spans="3:7" ht="23.25" x14ac:dyDescent="0.25">
      <c r="C366" s="136"/>
      <c r="D366" s="57"/>
      <c r="E366" s="54"/>
      <c r="F366" s="54"/>
      <c r="G366" s="64"/>
    </row>
    <row r="367" spans="3:7" ht="23.25" x14ac:dyDescent="0.25">
      <c r="C367" s="136"/>
      <c r="D367" s="57"/>
      <c r="E367" s="54"/>
      <c r="F367" s="54"/>
      <c r="G367" s="64"/>
    </row>
    <row r="368" spans="3:7" ht="23.25" x14ac:dyDescent="0.25">
      <c r="C368" s="136"/>
      <c r="D368" s="57"/>
      <c r="E368" s="54"/>
      <c r="F368" s="54"/>
      <c r="G368" s="64"/>
    </row>
    <row r="369" spans="3:7" ht="23.25" x14ac:dyDescent="0.25">
      <c r="C369" s="136"/>
      <c r="D369" s="57"/>
      <c r="E369" s="54"/>
      <c r="F369" s="54"/>
      <c r="G369" s="64"/>
    </row>
    <row r="370" spans="3:7" ht="23.25" x14ac:dyDescent="0.25">
      <c r="C370" s="136"/>
      <c r="D370" s="57"/>
      <c r="E370" s="54"/>
      <c r="F370" s="54"/>
      <c r="G370" s="64"/>
    </row>
    <row r="371" spans="3:7" ht="23.25" x14ac:dyDescent="0.25">
      <c r="C371" s="136"/>
      <c r="D371" s="57"/>
      <c r="E371" s="54"/>
      <c r="F371" s="54"/>
      <c r="G371" s="64"/>
    </row>
    <row r="372" spans="3:7" ht="23.25" x14ac:dyDescent="0.25">
      <c r="C372" s="136"/>
      <c r="D372" s="57"/>
      <c r="E372" s="54"/>
      <c r="F372" s="54"/>
      <c r="G372" s="64"/>
    </row>
    <row r="373" spans="3:7" ht="23.25" x14ac:dyDescent="0.25">
      <c r="C373" s="136"/>
      <c r="D373" s="57"/>
      <c r="E373" s="54"/>
      <c r="F373" s="54"/>
      <c r="G373" s="64"/>
    </row>
    <row r="374" spans="3:7" ht="23.25" x14ac:dyDescent="0.25">
      <c r="C374" s="136"/>
      <c r="D374" s="57"/>
      <c r="E374" s="54"/>
      <c r="F374" s="54"/>
      <c r="G374" s="64"/>
    </row>
    <row r="375" spans="3:7" ht="23.25" x14ac:dyDescent="0.25">
      <c r="C375" s="136"/>
      <c r="D375" s="57"/>
      <c r="E375" s="54"/>
      <c r="F375" s="54"/>
      <c r="G375" s="64"/>
    </row>
    <row r="376" spans="3:7" ht="23.25" x14ac:dyDescent="0.25">
      <c r="C376" s="136"/>
      <c r="D376" s="57"/>
      <c r="E376" s="54"/>
      <c r="F376" s="54"/>
      <c r="G376" s="64"/>
    </row>
    <row r="377" spans="3:7" ht="23.25" x14ac:dyDescent="0.25">
      <c r="C377" s="136"/>
      <c r="D377" s="57"/>
      <c r="E377" s="54"/>
      <c r="F377" s="54"/>
      <c r="G377" s="64"/>
    </row>
    <row r="378" spans="3:7" ht="23.25" x14ac:dyDescent="0.25">
      <c r="C378" s="136"/>
      <c r="D378" s="57"/>
      <c r="E378" s="54"/>
      <c r="F378" s="54"/>
      <c r="G378" s="64"/>
    </row>
    <row r="379" spans="3:7" ht="23.25" x14ac:dyDescent="0.25">
      <c r="C379" s="136"/>
      <c r="D379" s="57"/>
      <c r="E379" s="54"/>
      <c r="F379" s="54"/>
      <c r="G379" s="64"/>
    </row>
    <row r="380" spans="3:7" ht="23.25" x14ac:dyDescent="0.25">
      <c r="C380" s="136"/>
      <c r="D380" s="57"/>
      <c r="E380" s="54"/>
      <c r="F380" s="54"/>
      <c r="G380" s="64"/>
    </row>
    <row r="381" spans="3:7" ht="23.25" x14ac:dyDescent="0.25">
      <c r="C381" s="136"/>
      <c r="D381" s="57"/>
      <c r="E381" s="54"/>
      <c r="F381" s="54"/>
      <c r="G381" s="64"/>
    </row>
    <row r="382" spans="3:7" ht="23.25" x14ac:dyDescent="0.25">
      <c r="C382" s="136"/>
      <c r="D382" s="57"/>
      <c r="E382" s="54"/>
      <c r="F382" s="54"/>
      <c r="G382" s="64"/>
    </row>
    <row r="383" spans="3:7" ht="23.25" x14ac:dyDescent="0.25">
      <c r="C383" s="136"/>
      <c r="D383" s="57"/>
      <c r="E383" s="54"/>
      <c r="F383" s="54"/>
      <c r="G383" s="64"/>
    </row>
    <row r="384" spans="3:7" ht="23.25" x14ac:dyDescent="0.25">
      <c r="C384" s="136"/>
      <c r="D384" s="57"/>
      <c r="E384" s="54"/>
      <c r="F384" s="54"/>
      <c r="G384" s="64"/>
    </row>
    <row r="385" spans="3:7" ht="23.25" x14ac:dyDescent="0.25">
      <c r="C385" s="136"/>
      <c r="D385" s="57"/>
      <c r="E385" s="54"/>
      <c r="F385" s="54"/>
      <c r="G385" s="64"/>
    </row>
    <row r="386" spans="3:7" ht="23.25" x14ac:dyDescent="0.25">
      <c r="C386" s="136"/>
      <c r="D386" s="57"/>
      <c r="E386" s="54"/>
      <c r="F386" s="54"/>
      <c r="G386" s="64"/>
    </row>
    <row r="387" spans="3:7" ht="23.25" x14ac:dyDescent="0.25">
      <c r="C387" s="136"/>
      <c r="D387" s="57"/>
      <c r="E387" s="54"/>
      <c r="F387" s="54"/>
      <c r="G387" s="64"/>
    </row>
    <row r="388" spans="3:7" ht="23.25" x14ac:dyDescent="0.25">
      <c r="C388" s="136"/>
      <c r="D388" s="57"/>
      <c r="E388" s="54"/>
      <c r="F388" s="54"/>
      <c r="G388" s="64"/>
    </row>
    <row r="389" spans="3:7" ht="23.25" x14ac:dyDescent="0.25">
      <c r="C389" s="136"/>
      <c r="D389" s="57"/>
      <c r="E389" s="54"/>
      <c r="F389" s="54"/>
      <c r="G389" s="64"/>
    </row>
    <row r="390" spans="3:7" ht="23.25" x14ac:dyDescent="0.25">
      <c r="C390" s="136"/>
      <c r="D390" s="57"/>
      <c r="E390" s="54"/>
      <c r="F390" s="54"/>
      <c r="G390" s="64"/>
    </row>
    <row r="391" spans="3:7" ht="23.25" x14ac:dyDescent="0.25">
      <c r="C391" s="136"/>
      <c r="D391" s="57"/>
      <c r="E391" s="54"/>
      <c r="F391" s="54"/>
      <c r="G391" s="64"/>
    </row>
    <row r="392" spans="3:7" ht="23.25" x14ac:dyDescent="0.25">
      <c r="C392" s="136"/>
      <c r="D392" s="57"/>
      <c r="E392" s="54"/>
      <c r="F392" s="54"/>
      <c r="G392" s="64"/>
    </row>
    <row r="393" spans="3:7" ht="23.25" x14ac:dyDescent="0.25">
      <c r="C393" s="136"/>
      <c r="D393" s="57"/>
      <c r="E393" s="54"/>
      <c r="F393" s="54"/>
      <c r="G393" s="64"/>
    </row>
    <row r="394" spans="3:7" ht="23.25" x14ac:dyDescent="0.25">
      <c r="C394" s="136"/>
      <c r="D394" s="57"/>
      <c r="E394" s="54"/>
      <c r="F394" s="54"/>
      <c r="G394" s="64"/>
    </row>
    <row r="395" spans="3:7" ht="23.25" x14ac:dyDescent="0.25">
      <c r="C395" s="136"/>
      <c r="D395" s="57"/>
      <c r="E395" s="54"/>
      <c r="F395" s="54"/>
      <c r="G395" s="64"/>
    </row>
    <row r="396" spans="3:7" ht="23.25" x14ac:dyDescent="0.25">
      <c r="C396" s="136"/>
      <c r="D396" s="57"/>
      <c r="E396" s="54"/>
      <c r="F396" s="54"/>
      <c r="G396" s="64"/>
    </row>
    <row r="397" spans="3:7" ht="23.25" x14ac:dyDescent="0.25">
      <c r="C397" s="136"/>
      <c r="D397" s="57"/>
      <c r="E397" s="54"/>
      <c r="F397" s="54"/>
      <c r="G397" s="64"/>
    </row>
    <row r="398" spans="3:7" ht="23.25" x14ac:dyDescent="0.25">
      <c r="C398" s="136"/>
      <c r="D398" s="57"/>
      <c r="E398" s="54"/>
      <c r="F398" s="54"/>
      <c r="G398" s="64"/>
    </row>
    <row r="399" spans="3:7" ht="23.25" x14ac:dyDescent="0.25">
      <c r="C399" s="136"/>
      <c r="D399" s="57"/>
      <c r="E399" s="54"/>
      <c r="F399" s="54"/>
      <c r="G399" s="64"/>
    </row>
    <row r="400" spans="3:7" ht="23.25" x14ac:dyDescent="0.25">
      <c r="C400" s="136"/>
      <c r="D400" s="57"/>
      <c r="E400" s="54"/>
      <c r="F400" s="54"/>
      <c r="G400" s="64"/>
    </row>
    <row r="401" spans="3:7" ht="23.25" x14ac:dyDescent="0.25">
      <c r="C401" s="136"/>
      <c r="D401" s="57"/>
      <c r="E401" s="54"/>
      <c r="F401" s="54"/>
      <c r="G401" s="64"/>
    </row>
    <row r="402" spans="3:7" ht="23.25" x14ac:dyDescent="0.25">
      <c r="C402" s="136"/>
      <c r="D402" s="57"/>
      <c r="E402" s="54"/>
      <c r="F402" s="54"/>
      <c r="G402" s="64"/>
    </row>
    <row r="403" spans="3:7" ht="23.25" x14ac:dyDescent="0.25">
      <c r="C403" s="136"/>
      <c r="D403" s="57"/>
      <c r="E403" s="54"/>
      <c r="F403" s="54"/>
      <c r="G403" s="64"/>
    </row>
    <row r="404" spans="3:7" ht="23.25" x14ac:dyDescent="0.25">
      <c r="C404" s="136"/>
      <c r="D404" s="57"/>
      <c r="E404" s="54"/>
      <c r="F404" s="54"/>
      <c r="G404" s="64"/>
    </row>
    <row r="405" spans="3:7" ht="23.25" x14ac:dyDescent="0.25">
      <c r="C405" s="136"/>
      <c r="D405" s="57"/>
      <c r="E405" s="54"/>
      <c r="F405" s="54"/>
      <c r="G405" s="64"/>
    </row>
    <row r="406" spans="3:7" ht="23.25" x14ac:dyDescent="0.25">
      <c r="C406" s="136"/>
      <c r="D406" s="57"/>
      <c r="E406" s="54"/>
      <c r="F406" s="54"/>
      <c r="G406" s="64"/>
    </row>
    <row r="407" spans="3:7" ht="23.25" x14ac:dyDescent="0.25">
      <c r="C407" s="136"/>
      <c r="D407" s="57"/>
      <c r="E407" s="54"/>
      <c r="F407" s="54"/>
      <c r="G407" s="64"/>
    </row>
    <row r="408" spans="3:7" ht="23.25" x14ac:dyDescent="0.25">
      <c r="C408" s="136"/>
      <c r="D408" s="57"/>
      <c r="E408" s="54"/>
      <c r="F408" s="54"/>
      <c r="G408" s="64"/>
    </row>
    <row r="409" spans="3:7" ht="23.25" x14ac:dyDescent="0.25">
      <c r="C409" s="136"/>
      <c r="D409" s="57"/>
      <c r="E409" s="54"/>
      <c r="F409" s="54"/>
      <c r="G409" s="64"/>
    </row>
    <row r="410" spans="3:7" ht="23.25" x14ac:dyDescent="0.25">
      <c r="C410" s="136"/>
      <c r="D410" s="57"/>
      <c r="E410" s="54"/>
      <c r="F410" s="54"/>
      <c r="G410" s="64"/>
    </row>
    <row r="411" spans="3:7" ht="23.25" x14ac:dyDescent="0.25">
      <c r="C411" s="136"/>
      <c r="D411" s="57"/>
      <c r="E411" s="54"/>
      <c r="F411" s="54"/>
      <c r="G411" s="64"/>
    </row>
    <row r="412" spans="3:7" ht="23.25" x14ac:dyDescent="0.25">
      <c r="C412" s="136"/>
      <c r="D412" s="57"/>
      <c r="E412" s="54"/>
      <c r="F412" s="54"/>
      <c r="G412" s="64"/>
    </row>
    <row r="413" spans="3:7" ht="23.25" x14ac:dyDescent="0.25">
      <c r="C413" s="136"/>
      <c r="D413" s="57"/>
      <c r="E413" s="54"/>
      <c r="F413" s="54"/>
      <c r="G413" s="64"/>
    </row>
    <row r="414" spans="3:7" ht="23.25" x14ac:dyDescent="0.25">
      <c r="C414" s="136"/>
      <c r="D414" s="57"/>
      <c r="E414" s="54"/>
      <c r="F414" s="54"/>
      <c r="G414" s="64"/>
    </row>
    <row r="415" spans="3:7" ht="23.25" x14ac:dyDescent="0.25">
      <c r="C415" s="136"/>
      <c r="D415" s="57"/>
      <c r="E415" s="54"/>
      <c r="F415" s="54"/>
      <c r="G415" s="64"/>
    </row>
    <row r="416" spans="3:7" ht="23.25" x14ac:dyDescent="0.25">
      <c r="C416" s="136"/>
      <c r="D416" s="57"/>
      <c r="E416" s="54"/>
      <c r="F416" s="54"/>
      <c r="G416" s="64"/>
    </row>
    <row r="417" spans="3:7" ht="23.25" x14ac:dyDescent="0.25">
      <c r="C417" s="136"/>
      <c r="D417" s="57"/>
      <c r="E417" s="54"/>
      <c r="F417" s="54"/>
      <c r="G417" s="64"/>
    </row>
    <row r="418" spans="3:7" ht="23.25" x14ac:dyDescent="0.25">
      <c r="C418" s="136"/>
      <c r="D418" s="57"/>
      <c r="E418" s="54"/>
      <c r="F418" s="54"/>
      <c r="G418" s="64"/>
    </row>
    <row r="419" spans="3:7" ht="23.25" x14ac:dyDescent="0.25">
      <c r="C419" s="136"/>
      <c r="D419" s="57"/>
      <c r="E419" s="54"/>
      <c r="F419" s="54"/>
      <c r="G419" s="64"/>
    </row>
    <row r="420" spans="3:7" ht="23.25" x14ac:dyDescent="0.25">
      <c r="C420" s="136"/>
      <c r="D420" s="57"/>
      <c r="E420" s="54"/>
      <c r="F420" s="54"/>
      <c r="G420" s="64"/>
    </row>
    <row r="421" spans="3:7" ht="23.25" x14ac:dyDescent="0.25">
      <c r="C421" s="136"/>
      <c r="D421" s="57"/>
      <c r="E421" s="54"/>
      <c r="F421" s="54"/>
      <c r="G421" s="64"/>
    </row>
    <row r="422" spans="3:7" ht="23.25" x14ac:dyDescent="0.25">
      <c r="C422" s="136"/>
      <c r="D422" s="57"/>
      <c r="E422" s="54"/>
      <c r="F422" s="54"/>
      <c r="G422" s="64"/>
    </row>
    <row r="423" spans="3:7" ht="23.25" x14ac:dyDescent="0.25">
      <c r="C423" s="136"/>
      <c r="D423" s="57"/>
      <c r="E423" s="54"/>
      <c r="F423" s="54"/>
      <c r="G423" s="64"/>
    </row>
    <row r="424" spans="3:7" ht="23.25" x14ac:dyDescent="0.25">
      <c r="C424" s="136"/>
      <c r="D424" s="57"/>
      <c r="E424" s="54"/>
      <c r="F424" s="54"/>
      <c r="G424" s="64"/>
    </row>
    <row r="425" spans="3:7" ht="23.25" x14ac:dyDescent="0.25">
      <c r="C425" s="136"/>
      <c r="D425" s="57"/>
      <c r="E425" s="54"/>
      <c r="F425" s="54"/>
      <c r="G425" s="64"/>
    </row>
    <row r="426" spans="3:7" ht="23.25" x14ac:dyDescent="0.25">
      <c r="C426" s="136"/>
      <c r="D426" s="57"/>
      <c r="E426" s="54"/>
      <c r="F426" s="54"/>
      <c r="G426" s="64"/>
    </row>
    <row r="427" spans="3:7" ht="23.25" x14ac:dyDescent="0.25">
      <c r="C427" s="136"/>
      <c r="D427" s="57"/>
      <c r="E427" s="54"/>
      <c r="F427" s="54"/>
      <c r="G427" s="64"/>
    </row>
    <row r="428" spans="3:7" ht="23.25" x14ac:dyDescent="0.25">
      <c r="C428" s="136"/>
      <c r="D428" s="57"/>
      <c r="E428" s="54"/>
      <c r="F428" s="54"/>
      <c r="G428" s="64"/>
    </row>
    <row r="429" spans="3:7" ht="23.25" x14ac:dyDescent="0.25">
      <c r="C429" s="136"/>
      <c r="D429" s="57"/>
      <c r="E429" s="54"/>
      <c r="F429" s="54"/>
      <c r="G429" s="64"/>
    </row>
    <row r="430" spans="3:7" ht="23.25" x14ac:dyDescent="0.25">
      <c r="C430" s="136"/>
      <c r="D430" s="57"/>
      <c r="E430" s="54"/>
      <c r="F430" s="54"/>
      <c r="G430" s="64"/>
    </row>
    <row r="431" spans="3:7" ht="23.25" x14ac:dyDescent="0.25">
      <c r="C431" s="136"/>
      <c r="D431" s="57"/>
      <c r="E431" s="54"/>
      <c r="F431" s="54"/>
      <c r="G431" s="64"/>
    </row>
    <row r="432" spans="3:7" ht="23.25" x14ac:dyDescent="0.25">
      <c r="C432" s="136"/>
      <c r="D432" s="57"/>
      <c r="E432" s="54"/>
      <c r="F432" s="54"/>
      <c r="G432" s="64"/>
    </row>
    <row r="433" spans="3:7" ht="23.25" x14ac:dyDescent="0.25">
      <c r="C433" s="136"/>
      <c r="D433" s="57"/>
      <c r="E433" s="54"/>
      <c r="F433" s="54"/>
      <c r="G433" s="64"/>
    </row>
    <row r="434" spans="3:7" ht="23.25" x14ac:dyDescent="0.25">
      <c r="C434" s="136"/>
      <c r="D434" s="57"/>
      <c r="E434" s="54"/>
      <c r="F434" s="54"/>
      <c r="G434" s="64"/>
    </row>
    <row r="435" spans="3:7" ht="23.25" x14ac:dyDescent="0.25">
      <c r="C435" s="136"/>
      <c r="D435" s="57"/>
      <c r="E435" s="54"/>
      <c r="F435" s="54"/>
      <c r="G435" s="64"/>
    </row>
    <row r="436" spans="3:7" ht="23.25" x14ac:dyDescent="0.25">
      <c r="C436" s="136"/>
      <c r="D436" s="57"/>
      <c r="E436" s="54"/>
      <c r="F436" s="54"/>
      <c r="G436" s="64"/>
    </row>
    <row r="437" spans="3:7" ht="23.25" x14ac:dyDescent="0.25">
      <c r="C437" s="136"/>
      <c r="D437" s="57"/>
      <c r="E437" s="54"/>
      <c r="F437" s="54"/>
      <c r="G437" s="64"/>
    </row>
    <row r="438" spans="3:7" ht="23.25" x14ac:dyDescent="0.25">
      <c r="C438" s="136"/>
      <c r="D438" s="57"/>
      <c r="E438" s="54"/>
      <c r="F438" s="54"/>
      <c r="G438" s="64"/>
    </row>
    <row r="439" spans="3:7" ht="23.25" x14ac:dyDescent="0.25">
      <c r="C439" s="136"/>
      <c r="D439" s="57"/>
      <c r="E439" s="54"/>
      <c r="F439" s="54"/>
      <c r="G439" s="64"/>
    </row>
    <row r="440" spans="3:7" ht="23.25" x14ac:dyDescent="0.25">
      <c r="C440" s="136"/>
      <c r="D440" s="57"/>
      <c r="E440" s="54"/>
      <c r="F440" s="54"/>
      <c r="G440" s="64"/>
    </row>
    <row r="441" spans="3:7" ht="23.25" x14ac:dyDescent="0.25">
      <c r="C441" s="136"/>
      <c r="D441" s="57"/>
      <c r="E441" s="54"/>
      <c r="F441" s="54"/>
      <c r="G441" s="64"/>
    </row>
    <row r="442" spans="3:7" ht="23.25" x14ac:dyDescent="0.25">
      <c r="C442" s="136"/>
      <c r="D442" s="57"/>
      <c r="E442" s="54"/>
      <c r="F442" s="54"/>
      <c r="G442" s="64"/>
    </row>
    <row r="443" spans="3:7" ht="23.25" x14ac:dyDescent="0.25">
      <c r="C443" s="136"/>
      <c r="D443" s="57"/>
      <c r="E443" s="54"/>
      <c r="F443" s="54"/>
      <c r="G443" s="64"/>
    </row>
    <row r="444" spans="3:7" ht="23.25" x14ac:dyDescent="0.25">
      <c r="C444" s="136"/>
      <c r="D444" s="57"/>
      <c r="E444" s="54"/>
      <c r="F444" s="54"/>
      <c r="G444" s="64"/>
    </row>
    <row r="445" spans="3:7" ht="23.25" x14ac:dyDescent="0.25">
      <c r="C445" s="136"/>
      <c r="D445" s="57"/>
      <c r="E445" s="54"/>
      <c r="F445" s="54"/>
      <c r="G445" s="64"/>
    </row>
    <row r="446" spans="3:7" ht="23.25" x14ac:dyDescent="0.25">
      <c r="C446" s="136"/>
      <c r="D446" s="57"/>
      <c r="E446" s="54"/>
      <c r="F446" s="54"/>
      <c r="G446" s="64"/>
    </row>
    <row r="447" spans="3:7" ht="23.25" x14ac:dyDescent="0.25">
      <c r="C447" s="136"/>
      <c r="D447" s="57"/>
      <c r="E447" s="54"/>
      <c r="F447" s="54"/>
      <c r="G447" s="64"/>
    </row>
    <row r="448" spans="3:7" ht="23.25" x14ac:dyDescent="0.25">
      <c r="C448" s="136"/>
      <c r="D448" s="57"/>
      <c r="E448" s="54"/>
      <c r="F448" s="54"/>
      <c r="G448" s="64"/>
    </row>
    <row r="449" spans="3:7" ht="23.25" x14ac:dyDescent="0.25">
      <c r="C449" s="136"/>
      <c r="D449" s="57"/>
      <c r="E449" s="54"/>
      <c r="F449" s="54"/>
      <c r="G449" s="64"/>
    </row>
    <row r="450" spans="3:7" ht="23.25" x14ac:dyDescent="0.25">
      <c r="C450" s="136"/>
      <c r="D450" s="57"/>
      <c r="E450" s="54"/>
      <c r="F450" s="54"/>
      <c r="G450" s="64"/>
    </row>
    <row r="451" spans="3:7" ht="23.25" x14ac:dyDescent="0.25">
      <c r="C451" s="136"/>
      <c r="D451" s="57"/>
      <c r="E451" s="54"/>
      <c r="F451" s="54"/>
      <c r="G451" s="64"/>
    </row>
    <row r="452" spans="3:7" ht="23.25" x14ac:dyDescent="0.25">
      <c r="C452" s="136"/>
      <c r="D452" s="57"/>
      <c r="E452" s="54"/>
      <c r="F452" s="54"/>
      <c r="G452" s="64"/>
    </row>
    <row r="453" spans="3:7" ht="23.25" x14ac:dyDescent="0.25">
      <c r="C453" s="136"/>
      <c r="D453" s="57"/>
      <c r="E453" s="54"/>
      <c r="F453" s="54"/>
      <c r="G453" s="64"/>
    </row>
    <row r="454" spans="3:7" ht="23.25" x14ac:dyDescent="0.25">
      <c r="C454" s="136"/>
      <c r="D454" s="57"/>
      <c r="E454" s="54"/>
      <c r="F454" s="54"/>
      <c r="G454" s="64"/>
    </row>
    <row r="455" spans="3:7" ht="23.25" x14ac:dyDescent="0.25">
      <c r="C455" s="136"/>
      <c r="D455" s="57"/>
      <c r="E455" s="54"/>
      <c r="F455" s="54"/>
      <c r="G455" s="64"/>
    </row>
    <row r="456" spans="3:7" ht="23.25" x14ac:dyDescent="0.25">
      <c r="C456" s="136"/>
      <c r="D456" s="57"/>
      <c r="E456" s="54"/>
      <c r="F456" s="54"/>
      <c r="G456" s="64"/>
    </row>
    <row r="457" spans="3:7" ht="23.25" x14ac:dyDescent="0.25">
      <c r="C457" s="136"/>
      <c r="D457" s="57"/>
      <c r="E457" s="54"/>
      <c r="F457" s="54"/>
      <c r="G457" s="64"/>
    </row>
    <row r="458" spans="3:7" ht="23.25" x14ac:dyDescent="0.25">
      <c r="C458" s="136"/>
      <c r="D458" s="57"/>
      <c r="E458" s="54"/>
      <c r="F458" s="54"/>
      <c r="G458" s="64"/>
    </row>
    <row r="459" spans="3:7" ht="23.25" x14ac:dyDescent="0.25">
      <c r="C459" s="136"/>
      <c r="D459" s="57"/>
      <c r="E459" s="54"/>
      <c r="F459" s="54"/>
      <c r="G459" s="64"/>
    </row>
    <row r="460" spans="3:7" ht="23.25" x14ac:dyDescent="0.25">
      <c r="C460" s="136"/>
      <c r="D460" s="57"/>
      <c r="E460" s="54"/>
      <c r="F460" s="54"/>
      <c r="G460" s="64"/>
    </row>
    <row r="461" spans="3:7" ht="23.25" x14ac:dyDescent="0.25">
      <c r="C461" s="136"/>
      <c r="D461" s="57"/>
      <c r="E461" s="54"/>
      <c r="F461" s="54"/>
      <c r="G461" s="64"/>
    </row>
    <row r="462" spans="3:7" ht="23.25" x14ac:dyDescent="0.25">
      <c r="C462" s="136"/>
      <c r="D462" s="57"/>
      <c r="E462" s="54"/>
      <c r="F462" s="54"/>
      <c r="G462" s="64"/>
    </row>
    <row r="463" spans="3:7" ht="23.25" x14ac:dyDescent="0.25">
      <c r="C463" s="136"/>
      <c r="D463" s="57"/>
      <c r="E463" s="54"/>
      <c r="F463" s="54"/>
      <c r="G463" s="64"/>
    </row>
    <row r="464" spans="3:7" ht="23.25" x14ac:dyDescent="0.25">
      <c r="C464" s="136"/>
      <c r="D464" s="57"/>
      <c r="E464" s="54"/>
      <c r="F464" s="54"/>
      <c r="G464" s="64"/>
    </row>
    <row r="465" spans="3:7" ht="23.25" x14ac:dyDescent="0.25">
      <c r="C465" s="136"/>
      <c r="D465" s="57"/>
      <c r="E465" s="54"/>
      <c r="F465" s="54"/>
      <c r="G465" s="64"/>
    </row>
    <row r="466" spans="3:7" ht="23.25" x14ac:dyDescent="0.25">
      <c r="C466" s="136"/>
      <c r="D466" s="57"/>
      <c r="E466" s="54"/>
      <c r="F466" s="54"/>
      <c r="G466" s="64"/>
    </row>
    <row r="467" spans="3:7" ht="23.25" x14ac:dyDescent="0.25">
      <c r="C467" s="136"/>
      <c r="D467" s="57"/>
      <c r="E467" s="54"/>
      <c r="F467" s="54"/>
      <c r="G467" s="64"/>
    </row>
    <row r="468" spans="3:7" ht="23.25" x14ac:dyDescent="0.25">
      <c r="C468" s="136"/>
      <c r="D468" s="57"/>
      <c r="E468" s="54"/>
      <c r="F468" s="54"/>
      <c r="G468" s="64"/>
    </row>
    <row r="469" spans="3:7" ht="23.25" x14ac:dyDescent="0.25">
      <c r="C469" s="136"/>
      <c r="D469" s="57"/>
      <c r="E469" s="54"/>
      <c r="F469" s="54"/>
      <c r="G469" s="64"/>
    </row>
    <row r="470" spans="3:7" ht="23.25" x14ac:dyDescent="0.25">
      <c r="C470" s="136"/>
      <c r="D470" s="57"/>
      <c r="E470" s="54"/>
      <c r="F470" s="54"/>
      <c r="G470" s="64"/>
    </row>
    <row r="471" spans="3:7" ht="23.25" x14ac:dyDescent="0.25">
      <c r="C471" s="136"/>
      <c r="D471" s="57"/>
      <c r="E471" s="54"/>
      <c r="F471" s="54"/>
      <c r="G471" s="64"/>
    </row>
    <row r="472" spans="3:7" ht="23.25" x14ac:dyDescent="0.25">
      <c r="C472" s="136"/>
      <c r="D472" s="57"/>
      <c r="E472" s="54"/>
      <c r="F472" s="54"/>
      <c r="G472" s="64"/>
    </row>
    <row r="473" spans="3:7" ht="23.25" x14ac:dyDescent="0.25">
      <c r="C473" s="136"/>
      <c r="D473" s="57"/>
      <c r="E473" s="54"/>
      <c r="F473" s="54"/>
      <c r="G473" s="64"/>
    </row>
    <row r="474" spans="3:7" ht="23.25" x14ac:dyDescent="0.25">
      <c r="C474" s="136"/>
      <c r="D474" s="57"/>
      <c r="E474" s="54"/>
      <c r="F474" s="54"/>
      <c r="G474" s="64"/>
    </row>
    <row r="475" spans="3:7" ht="23.25" x14ac:dyDescent="0.25">
      <c r="C475" s="136"/>
      <c r="D475" s="57"/>
      <c r="E475" s="54"/>
      <c r="F475" s="54"/>
      <c r="G475" s="64"/>
    </row>
    <row r="476" spans="3:7" ht="23.25" x14ac:dyDescent="0.25">
      <c r="C476" s="136"/>
      <c r="D476" s="57"/>
      <c r="E476" s="54"/>
      <c r="F476" s="54"/>
      <c r="G476" s="64"/>
    </row>
    <row r="477" spans="3:7" ht="23.25" x14ac:dyDescent="0.25">
      <c r="C477" s="136"/>
      <c r="D477" s="57"/>
      <c r="E477" s="54"/>
      <c r="F477" s="54"/>
      <c r="G477" s="64"/>
    </row>
    <row r="478" spans="3:7" ht="23.25" x14ac:dyDescent="0.25">
      <c r="C478" s="136"/>
      <c r="D478" s="57"/>
      <c r="E478" s="54"/>
      <c r="F478" s="54"/>
      <c r="G478" s="64"/>
    </row>
    <row r="479" spans="3:7" ht="23.25" x14ac:dyDescent="0.25">
      <c r="C479" s="136"/>
      <c r="D479" s="57"/>
      <c r="E479" s="54"/>
      <c r="F479" s="54"/>
      <c r="G479" s="64"/>
    </row>
    <row r="480" spans="3:7" ht="23.25" x14ac:dyDescent="0.25">
      <c r="C480" s="136"/>
      <c r="D480" s="57"/>
      <c r="E480" s="54"/>
      <c r="F480" s="54"/>
      <c r="G480" s="64"/>
    </row>
    <row r="481" spans="3:7" ht="23.25" x14ac:dyDescent="0.25">
      <c r="C481" s="136"/>
      <c r="D481" s="57"/>
      <c r="E481" s="54"/>
      <c r="F481" s="54"/>
      <c r="G481" s="64"/>
    </row>
    <row r="482" spans="3:7" ht="23.25" x14ac:dyDescent="0.25">
      <c r="C482" s="136"/>
      <c r="D482" s="57"/>
      <c r="E482" s="54"/>
      <c r="F482" s="54"/>
      <c r="G482" s="64"/>
    </row>
    <row r="483" spans="3:7" ht="23.25" x14ac:dyDescent="0.25">
      <c r="C483" s="136"/>
      <c r="D483" s="57"/>
      <c r="E483" s="54"/>
      <c r="F483" s="54"/>
      <c r="G483" s="64"/>
    </row>
    <row r="484" spans="3:7" ht="23.25" x14ac:dyDescent="0.25">
      <c r="C484" s="136"/>
      <c r="D484" s="57"/>
      <c r="E484" s="54"/>
      <c r="F484" s="54"/>
      <c r="G484" s="64"/>
    </row>
    <row r="485" spans="3:7" ht="23.25" x14ac:dyDescent="0.25">
      <c r="C485" s="136"/>
      <c r="D485" s="57"/>
      <c r="E485" s="54"/>
      <c r="F485" s="54"/>
      <c r="G485" s="64"/>
    </row>
    <row r="486" spans="3:7" ht="23.25" x14ac:dyDescent="0.25">
      <c r="C486" s="136"/>
      <c r="D486" s="57"/>
      <c r="E486" s="54"/>
      <c r="F486" s="54"/>
      <c r="G486" s="64"/>
    </row>
    <row r="487" spans="3:7" ht="23.25" x14ac:dyDescent="0.25">
      <c r="C487" s="136"/>
      <c r="D487" s="57"/>
      <c r="E487" s="54"/>
      <c r="F487" s="54"/>
      <c r="G487" s="64"/>
    </row>
    <row r="488" spans="3:7" ht="23.25" x14ac:dyDescent="0.25">
      <c r="C488" s="136"/>
      <c r="D488" s="57"/>
      <c r="E488" s="54"/>
      <c r="F488" s="54"/>
      <c r="G488" s="64"/>
    </row>
    <row r="489" spans="3:7" ht="23.25" x14ac:dyDescent="0.25">
      <c r="C489" s="136"/>
      <c r="D489" s="57"/>
      <c r="E489" s="54"/>
      <c r="F489" s="54"/>
      <c r="G489" s="64"/>
    </row>
    <row r="490" spans="3:7" ht="23.25" x14ac:dyDescent="0.25">
      <c r="C490" s="136"/>
      <c r="D490" s="57"/>
      <c r="E490" s="54"/>
      <c r="F490" s="54"/>
      <c r="G490" s="64"/>
    </row>
    <row r="491" spans="3:7" ht="23.25" x14ac:dyDescent="0.25">
      <c r="C491" s="136"/>
      <c r="D491" s="57"/>
      <c r="E491" s="54"/>
      <c r="F491" s="54"/>
      <c r="G491" s="64"/>
    </row>
    <row r="492" spans="3:7" ht="23.25" x14ac:dyDescent="0.25">
      <c r="C492" s="136"/>
      <c r="D492" s="57"/>
      <c r="E492" s="54"/>
      <c r="F492" s="54"/>
      <c r="G492" s="64"/>
    </row>
    <row r="493" spans="3:7" ht="23.25" x14ac:dyDescent="0.25">
      <c r="C493" s="136"/>
      <c r="D493" s="57"/>
      <c r="E493" s="54"/>
      <c r="F493" s="54"/>
      <c r="G493" s="64"/>
    </row>
    <row r="494" spans="3:7" ht="23.25" x14ac:dyDescent="0.25">
      <c r="C494" s="136"/>
      <c r="D494" s="57"/>
      <c r="E494" s="54"/>
      <c r="F494" s="54"/>
      <c r="G494" s="64"/>
    </row>
    <row r="495" spans="3:7" ht="23.25" x14ac:dyDescent="0.25">
      <c r="C495" s="136"/>
      <c r="D495" s="57"/>
      <c r="E495" s="54"/>
      <c r="F495" s="54"/>
      <c r="G495" s="64"/>
    </row>
    <row r="496" spans="3:7" ht="23.25" x14ac:dyDescent="0.25">
      <c r="C496" s="136"/>
      <c r="D496" s="57"/>
      <c r="E496" s="54"/>
      <c r="F496" s="54"/>
      <c r="G496" s="64"/>
    </row>
    <row r="497" spans="3:7" ht="23.25" x14ac:dyDescent="0.25">
      <c r="C497" s="136"/>
      <c r="D497" s="57"/>
      <c r="E497" s="54"/>
      <c r="F497" s="54"/>
      <c r="G497" s="64"/>
    </row>
    <row r="498" spans="3:7" ht="23.25" x14ac:dyDescent="0.25">
      <c r="C498" s="136"/>
      <c r="D498" s="57"/>
      <c r="E498" s="54"/>
      <c r="F498" s="54"/>
      <c r="G498" s="64"/>
    </row>
    <row r="499" spans="3:7" ht="23.25" x14ac:dyDescent="0.25">
      <c r="C499" s="136"/>
      <c r="D499" s="57"/>
      <c r="E499" s="54"/>
      <c r="F499" s="54"/>
      <c r="G499" s="64"/>
    </row>
    <row r="500" spans="3:7" ht="23.25" x14ac:dyDescent="0.25">
      <c r="C500" s="136"/>
      <c r="D500" s="57"/>
      <c r="E500" s="54"/>
      <c r="F500" s="54"/>
      <c r="G500" s="64"/>
    </row>
    <row r="501" spans="3:7" ht="23.25" x14ac:dyDescent="0.25">
      <c r="C501" s="136"/>
      <c r="D501" s="57"/>
      <c r="E501" s="54"/>
      <c r="F501" s="54"/>
      <c r="G501" s="64"/>
    </row>
    <row r="502" spans="3:7" ht="23.25" x14ac:dyDescent="0.25">
      <c r="C502" s="136"/>
      <c r="D502" s="57"/>
      <c r="E502" s="54"/>
      <c r="F502" s="54"/>
      <c r="G502" s="64"/>
    </row>
    <row r="503" spans="3:7" ht="23.25" x14ac:dyDescent="0.25">
      <c r="C503" s="136"/>
      <c r="D503" s="57"/>
      <c r="E503" s="54"/>
      <c r="F503" s="54"/>
      <c r="G503" s="64"/>
    </row>
    <row r="504" spans="3:7" ht="23.25" x14ac:dyDescent="0.25">
      <c r="C504" s="136"/>
      <c r="D504" s="57"/>
      <c r="E504" s="54"/>
      <c r="F504" s="54"/>
      <c r="G504" s="64"/>
    </row>
    <row r="505" spans="3:7" ht="23.25" x14ac:dyDescent="0.25">
      <c r="C505" s="136"/>
      <c r="D505" s="57"/>
      <c r="E505" s="54"/>
      <c r="F505" s="54"/>
      <c r="G505" s="64"/>
    </row>
    <row r="506" spans="3:7" ht="23.25" x14ac:dyDescent="0.25">
      <c r="C506" s="136"/>
      <c r="D506" s="57"/>
      <c r="E506" s="54"/>
      <c r="F506" s="54"/>
      <c r="G506" s="64"/>
    </row>
    <row r="507" spans="3:7" ht="23.25" x14ac:dyDescent="0.25">
      <c r="C507" s="136"/>
      <c r="D507" s="57"/>
      <c r="E507" s="54"/>
      <c r="F507" s="54"/>
      <c r="G507" s="64"/>
    </row>
    <row r="508" spans="3:7" ht="23.25" x14ac:dyDescent="0.25">
      <c r="C508" s="136"/>
      <c r="D508" s="57"/>
      <c r="E508" s="54"/>
      <c r="F508" s="54"/>
      <c r="G508" s="64"/>
    </row>
    <row r="509" spans="3:7" ht="23.25" x14ac:dyDescent="0.25">
      <c r="C509" s="136"/>
      <c r="D509" s="57"/>
      <c r="E509" s="54"/>
      <c r="F509" s="54"/>
      <c r="G509" s="64"/>
    </row>
    <row r="510" spans="3:7" ht="23.25" x14ac:dyDescent="0.25">
      <c r="C510" s="136"/>
      <c r="D510" s="57"/>
      <c r="E510" s="54"/>
      <c r="F510" s="54"/>
      <c r="G510" s="64"/>
    </row>
    <row r="511" spans="3:7" ht="23.25" x14ac:dyDescent="0.25">
      <c r="C511" s="136"/>
      <c r="D511" s="57"/>
      <c r="E511" s="54"/>
      <c r="F511" s="54"/>
      <c r="G511" s="64"/>
    </row>
    <row r="512" spans="3:7" ht="23.25" x14ac:dyDescent="0.25">
      <c r="C512" s="136"/>
      <c r="D512" s="57"/>
      <c r="E512" s="54"/>
      <c r="F512" s="54"/>
      <c r="G512" s="64"/>
    </row>
    <row r="513" spans="3:7" ht="23.25" x14ac:dyDescent="0.25">
      <c r="C513" s="136"/>
      <c r="D513" s="57"/>
      <c r="E513" s="54"/>
      <c r="F513" s="54"/>
      <c r="G513" s="64"/>
    </row>
    <row r="514" spans="3:7" ht="23.25" x14ac:dyDescent="0.25">
      <c r="C514" s="136"/>
      <c r="D514" s="57"/>
      <c r="E514" s="54"/>
      <c r="F514" s="54"/>
      <c r="G514" s="64"/>
    </row>
    <row r="515" spans="3:7" ht="23.25" x14ac:dyDescent="0.25">
      <c r="C515" s="136"/>
      <c r="D515" s="57"/>
      <c r="E515" s="54"/>
      <c r="F515" s="54"/>
      <c r="G515" s="64"/>
    </row>
    <row r="516" spans="3:7" ht="23.25" x14ac:dyDescent="0.25">
      <c r="C516" s="136"/>
      <c r="D516" s="57"/>
      <c r="E516" s="54"/>
      <c r="F516" s="54"/>
      <c r="G516" s="64"/>
    </row>
    <row r="517" spans="3:7" ht="23.25" x14ac:dyDescent="0.25">
      <c r="C517" s="136"/>
      <c r="D517" s="57"/>
      <c r="E517" s="54"/>
      <c r="F517" s="54"/>
      <c r="G517" s="64"/>
    </row>
    <row r="518" spans="3:7" ht="23.25" x14ac:dyDescent="0.25">
      <c r="C518" s="136"/>
      <c r="D518" s="57"/>
      <c r="E518" s="54"/>
      <c r="F518" s="54"/>
      <c r="G518" s="64"/>
    </row>
    <row r="519" spans="3:7" ht="23.25" x14ac:dyDescent="0.25">
      <c r="C519" s="136"/>
      <c r="D519" s="57"/>
      <c r="E519" s="54"/>
      <c r="F519" s="54"/>
      <c r="G519" s="64"/>
    </row>
    <row r="520" spans="3:7" ht="23.25" x14ac:dyDescent="0.25">
      <c r="C520" s="136"/>
      <c r="D520" s="57"/>
      <c r="E520" s="54"/>
      <c r="F520" s="54"/>
      <c r="G520" s="64"/>
    </row>
    <row r="521" spans="3:7" ht="23.25" x14ac:dyDescent="0.25">
      <c r="C521" s="136"/>
      <c r="D521" s="57"/>
      <c r="E521" s="54"/>
      <c r="F521" s="54"/>
      <c r="G521" s="64"/>
    </row>
    <row r="522" spans="3:7" ht="23.25" x14ac:dyDescent="0.25">
      <c r="C522" s="136"/>
      <c r="D522" s="57"/>
      <c r="E522" s="54"/>
      <c r="F522" s="54"/>
      <c r="G522" s="64"/>
    </row>
    <row r="523" spans="3:7" ht="23.25" x14ac:dyDescent="0.25">
      <c r="C523" s="136"/>
      <c r="D523" s="57"/>
      <c r="E523" s="54"/>
      <c r="F523" s="54"/>
      <c r="G523" s="64"/>
    </row>
    <row r="524" spans="3:7" ht="23.25" x14ac:dyDescent="0.25">
      <c r="C524" s="136"/>
      <c r="D524" s="57"/>
      <c r="E524" s="54"/>
      <c r="F524" s="54"/>
      <c r="G524" s="64"/>
    </row>
    <row r="525" spans="3:7" ht="23.25" x14ac:dyDescent="0.25">
      <c r="C525" s="136"/>
      <c r="D525" s="57"/>
      <c r="E525" s="54"/>
      <c r="F525" s="54"/>
      <c r="G525" s="64"/>
    </row>
    <row r="526" spans="3:7" ht="23.25" x14ac:dyDescent="0.25">
      <c r="C526" s="136"/>
      <c r="D526" s="57"/>
      <c r="E526" s="54"/>
      <c r="F526" s="54"/>
      <c r="G526" s="64"/>
    </row>
    <row r="527" spans="3:7" ht="23.25" x14ac:dyDescent="0.25">
      <c r="C527" s="136"/>
      <c r="D527" s="57"/>
      <c r="E527" s="54"/>
      <c r="F527" s="54"/>
      <c r="G527" s="64"/>
    </row>
    <row r="528" spans="3:7" ht="23.25" x14ac:dyDescent="0.25">
      <c r="C528" s="136"/>
      <c r="D528" s="57"/>
      <c r="E528" s="54"/>
      <c r="F528" s="54"/>
      <c r="G528" s="64"/>
    </row>
    <row r="529" spans="3:7" ht="23.25" x14ac:dyDescent="0.25">
      <c r="C529" s="136"/>
      <c r="D529" s="57"/>
      <c r="E529" s="54"/>
      <c r="F529" s="54"/>
      <c r="G529" s="64"/>
    </row>
    <row r="530" spans="3:7" ht="23.25" x14ac:dyDescent="0.25">
      <c r="C530" s="136"/>
      <c r="D530" s="57"/>
      <c r="E530" s="54"/>
      <c r="F530" s="54"/>
      <c r="G530" s="64"/>
    </row>
    <row r="531" spans="3:7" ht="23.25" x14ac:dyDescent="0.25">
      <c r="C531" s="136"/>
      <c r="D531" s="57"/>
      <c r="E531" s="54"/>
      <c r="F531" s="54"/>
      <c r="G531" s="64"/>
    </row>
    <row r="532" spans="3:7" ht="23.25" x14ac:dyDescent="0.25">
      <c r="C532" s="136"/>
      <c r="D532" s="57"/>
      <c r="E532" s="54"/>
      <c r="F532" s="54"/>
      <c r="G532" s="64"/>
    </row>
    <row r="533" spans="3:7" ht="23.25" x14ac:dyDescent="0.25">
      <c r="C533" s="136"/>
      <c r="D533" s="57"/>
      <c r="E533" s="54"/>
      <c r="F533" s="54"/>
      <c r="G533" s="64"/>
    </row>
    <row r="534" spans="3:7" ht="23.25" x14ac:dyDescent="0.25">
      <c r="C534" s="136"/>
      <c r="D534" s="57"/>
      <c r="E534" s="54"/>
      <c r="F534" s="54"/>
      <c r="G534" s="64"/>
    </row>
    <row r="535" spans="3:7" ht="23.25" x14ac:dyDescent="0.25">
      <c r="C535" s="136"/>
      <c r="D535" s="57"/>
      <c r="E535" s="54"/>
      <c r="F535" s="54"/>
      <c r="G535" s="64"/>
    </row>
    <row r="536" spans="3:7" ht="23.25" x14ac:dyDescent="0.25">
      <c r="C536" s="136"/>
      <c r="D536" s="57"/>
      <c r="E536" s="54"/>
      <c r="F536" s="54"/>
      <c r="G536" s="64"/>
    </row>
    <row r="537" spans="3:7" ht="23.25" x14ac:dyDescent="0.25">
      <c r="C537" s="136"/>
      <c r="D537" s="57"/>
      <c r="E537" s="54"/>
      <c r="F537" s="54"/>
      <c r="G537" s="64"/>
    </row>
    <row r="538" spans="3:7" ht="23.25" x14ac:dyDescent="0.25">
      <c r="C538" s="136"/>
      <c r="D538" s="57"/>
      <c r="E538" s="54"/>
      <c r="F538" s="54"/>
      <c r="G538" s="64"/>
    </row>
    <row r="539" spans="3:7" ht="23.25" x14ac:dyDescent="0.25">
      <c r="C539" s="136"/>
      <c r="D539" s="57"/>
      <c r="E539" s="54"/>
      <c r="F539" s="54"/>
      <c r="G539" s="64"/>
    </row>
    <row r="540" spans="3:7" ht="23.25" x14ac:dyDescent="0.25">
      <c r="C540" s="136"/>
      <c r="D540" s="57"/>
      <c r="E540" s="54"/>
      <c r="F540" s="54"/>
      <c r="G540" s="64"/>
    </row>
    <row r="541" spans="3:7" ht="23.25" x14ac:dyDescent="0.25">
      <c r="C541" s="136"/>
      <c r="D541" s="57"/>
      <c r="E541" s="54"/>
      <c r="F541" s="54"/>
      <c r="G541" s="64"/>
    </row>
    <row r="542" spans="3:7" ht="23.25" x14ac:dyDescent="0.25">
      <c r="C542" s="136"/>
      <c r="D542" s="57"/>
      <c r="E542" s="54"/>
      <c r="F542" s="54"/>
      <c r="G542" s="64"/>
    </row>
    <row r="543" spans="3:7" ht="23.25" x14ac:dyDescent="0.25">
      <c r="C543" s="136"/>
      <c r="D543" s="57"/>
      <c r="E543" s="54"/>
      <c r="F543" s="54"/>
      <c r="G543" s="64"/>
    </row>
    <row r="544" spans="3:7" ht="23.25" x14ac:dyDescent="0.25">
      <c r="C544" s="136"/>
      <c r="D544" s="57"/>
      <c r="E544" s="54"/>
      <c r="F544" s="54"/>
      <c r="G544" s="64"/>
    </row>
    <row r="545" spans="3:7" ht="23.25" x14ac:dyDescent="0.25">
      <c r="C545" s="136"/>
      <c r="D545" s="57"/>
      <c r="E545" s="54"/>
      <c r="F545" s="54"/>
      <c r="G545" s="64"/>
    </row>
    <row r="546" spans="3:7" ht="23.25" x14ac:dyDescent="0.25">
      <c r="C546" s="136"/>
      <c r="D546" s="57"/>
      <c r="E546" s="54"/>
      <c r="F546" s="54"/>
      <c r="G546" s="64"/>
    </row>
    <row r="547" spans="3:7" ht="23.25" x14ac:dyDescent="0.25">
      <c r="C547" s="136"/>
      <c r="D547" s="57"/>
      <c r="E547" s="54"/>
      <c r="F547" s="54"/>
      <c r="G547" s="64"/>
    </row>
    <row r="548" spans="3:7" ht="23.25" x14ac:dyDescent="0.25">
      <c r="C548" s="136"/>
      <c r="D548" s="57"/>
      <c r="E548" s="54"/>
      <c r="F548" s="54"/>
      <c r="G548" s="64"/>
    </row>
    <row r="549" spans="3:7" ht="23.25" x14ac:dyDescent="0.25">
      <c r="C549" s="136"/>
      <c r="D549" s="57"/>
      <c r="E549" s="54"/>
      <c r="F549" s="54"/>
      <c r="G549" s="64"/>
    </row>
    <row r="550" spans="3:7" ht="23.25" x14ac:dyDescent="0.25">
      <c r="C550" s="136"/>
      <c r="D550" s="57"/>
      <c r="E550" s="54"/>
      <c r="F550" s="54"/>
      <c r="G550" s="64"/>
    </row>
    <row r="551" spans="3:7" ht="23.25" x14ac:dyDescent="0.25">
      <c r="C551" s="136"/>
      <c r="D551" s="57"/>
      <c r="E551" s="54"/>
      <c r="F551" s="54"/>
      <c r="G551" s="64"/>
    </row>
    <row r="552" spans="3:7" ht="23.25" x14ac:dyDescent="0.25">
      <c r="C552" s="136"/>
      <c r="D552" s="57"/>
      <c r="E552" s="54"/>
      <c r="F552" s="54"/>
      <c r="G552" s="64"/>
    </row>
    <row r="553" spans="3:7" ht="23.25" x14ac:dyDescent="0.25">
      <c r="C553" s="136"/>
      <c r="D553" s="57"/>
      <c r="E553" s="54"/>
      <c r="F553" s="54"/>
      <c r="G553" s="64"/>
    </row>
    <row r="554" spans="3:7" ht="23.25" x14ac:dyDescent="0.25">
      <c r="C554" s="136"/>
      <c r="D554" s="57"/>
      <c r="E554" s="54"/>
      <c r="F554" s="54"/>
      <c r="G554" s="64"/>
    </row>
    <row r="555" spans="3:7" ht="23.25" x14ac:dyDescent="0.25">
      <c r="C555" s="136"/>
      <c r="D555" s="57"/>
      <c r="E555" s="54"/>
      <c r="F555" s="54"/>
      <c r="G555" s="64"/>
    </row>
    <row r="556" spans="3:7" ht="23.25" x14ac:dyDescent="0.25">
      <c r="C556" s="136"/>
      <c r="D556" s="57"/>
      <c r="E556" s="54"/>
      <c r="F556" s="54"/>
      <c r="G556" s="64"/>
    </row>
    <row r="557" spans="3:7" ht="23.25" x14ac:dyDescent="0.25">
      <c r="C557" s="136"/>
      <c r="D557" s="57"/>
      <c r="E557" s="54"/>
      <c r="F557" s="54"/>
      <c r="G557" s="64"/>
    </row>
    <row r="558" spans="3:7" ht="23.25" x14ac:dyDescent="0.25">
      <c r="C558" s="136"/>
      <c r="D558" s="57"/>
      <c r="E558" s="54"/>
      <c r="F558" s="54"/>
      <c r="G558" s="64"/>
    </row>
    <row r="559" spans="3:7" ht="23.25" x14ac:dyDescent="0.25">
      <c r="C559" s="136"/>
      <c r="D559" s="57"/>
      <c r="E559" s="54"/>
      <c r="F559" s="54"/>
      <c r="G559" s="64"/>
    </row>
    <row r="560" spans="3:7" ht="23.25" x14ac:dyDescent="0.25">
      <c r="C560" s="136"/>
      <c r="D560" s="57"/>
      <c r="E560" s="54"/>
      <c r="F560" s="54"/>
      <c r="G560" s="64"/>
    </row>
    <row r="561" spans="3:7" ht="23.25" x14ac:dyDescent="0.25">
      <c r="C561" s="136"/>
      <c r="D561" s="57"/>
      <c r="E561" s="54"/>
      <c r="F561" s="54"/>
      <c r="G561" s="64"/>
    </row>
    <row r="562" spans="3:7" ht="23.25" x14ac:dyDescent="0.25">
      <c r="C562" s="136"/>
      <c r="D562" s="57"/>
      <c r="E562" s="54"/>
      <c r="F562" s="54"/>
      <c r="G562" s="64"/>
    </row>
    <row r="563" spans="3:7" ht="23.25" x14ac:dyDescent="0.25">
      <c r="C563" s="136"/>
      <c r="D563" s="57"/>
      <c r="E563" s="54"/>
      <c r="F563" s="54"/>
      <c r="G563" s="64"/>
    </row>
    <row r="564" spans="3:7" ht="23.25" x14ac:dyDescent="0.25">
      <c r="C564" s="136"/>
      <c r="D564" s="57"/>
      <c r="E564" s="54"/>
      <c r="F564" s="54"/>
      <c r="G564" s="64"/>
    </row>
    <row r="565" spans="3:7" ht="23.25" x14ac:dyDescent="0.25">
      <c r="C565" s="136"/>
      <c r="D565" s="57"/>
      <c r="E565" s="54"/>
      <c r="F565" s="54"/>
      <c r="G565" s="64"/>
    </row>
    <row r="566" spans="3:7" ht="23.25" x14ac:dyDescent="0.25">
      <c r="C566" s="136"/>
      <c r="D566" s="57"/>
      <c r="E566" s="54"/>
      <c r="F566" s="54"/>
      <c r="G566" s="64"/>
    </row>
    <row r="567" spans="3:7" ht="23.25" x14ac:dyDescent="0.25">
      <c r="C567" s="136"/>
      <c r="D567" s="57"/>
      <c r="E567" s="54"/>
      <c r="F567" s="54"/>
      <c r="G567" s="64"/>
    </row>
    <row r="568" spans="3:7" ht="23.25" x14ac:dyDescent="0.25">
      <c r="C568" s="136"/>
      <c r="D568" s="57"/>
      <c r="E568" s="54"/>
      <c r="F568" s="54"/>
      <c r="G568" s="64"/>
    </row>
    <row r="569" spans="3:7" ht="23.25" x14ac:dyDescent="0.25">
      <c r="C569" s="136"/>
      <c r="D569" s="57"/>
      <c r="E569" s="54"/>
      <c r="F569" s="54"/>
      <c r="G569" s="64"/>
    </row>
    <row r="570" spans="3:7" ht="23.25" x14ac:dyDescent="0.25">
      <c r="C570" s="136"/>
      <c r="D570" s="57"/>
      <c r="E570" s="54"/>
      <c r="F570" s="54"/>
      <c r="G570" s="64"/>
    </row>
    <row r="571" spans="3:7" ht="23.25" x14ac:dyDescent="0.25">
      <c r="C571" s="136"/>
      <c r="D571" s="57"/>
      <c r="E571" s="54"/>
      <c r="F571" s="54"/>
      <c r="G571" s="64"/>
    </row>
    <row r="572" spans="3:7" ht="23.25" x14ac:dyDescent="0.25">
      <c r="C572" s="136"/>
      <c r="D572" s="57"/>
      <c r="E572" s="54"/>
      <c r="F572" s="54"/>
      <c r="G572" s="64"/>
    </row>
    <row r="573" spans="3:7" ht="23.25" x14ac:dyDescent="0.25">
      <c r="C573" s="136"/>
      <c r="D573" s="57"/>
      <c r="E573" s="54"/>
      <c r="F573" s="54"/>
      <c r="G573" s="64"/>
    </row>
    <row r="574" spans="3:7" ht="23.25" x14ac:dyDescent="0.25">
      <c r="C574" s="136"/>
      <c r="D574" s="57"/>
      <c r="E574" s="54"/>
      <c r="F574" s="54"/>
      <c r="G574" s="64"/>
    </row>
    <row r="575" spans="3:7" ht="23.25" x14ac:dyDescent="0.25">
      <c r="C575" s="136"/>
      <c r="D575" s="57"/>
      <c r="E575" s="54"/>
      <c r="F575" s="54"/>
      <c r="G575" s="64"/>
    </row>
    <row r="576" spans="3:7" ht="23.25" x14ac:dyDescent="0.25">
      <c r="C576" s="136"/>
      <c r="D576" s="57"/>
      <c r="E576" s="54"/>
      <c r="F576" s="54"/>
      <c r="G576" s="64"/>
    </row>
    <row r="577" spans="3:7" ht="23.25" x14ac:dyDescent="0.25">
      <c r="C577" s="136"/>
      <c r="D577" s="57"/>
      <c r="E577" s="54"/>
      <c r="F577" s="54"/>
      <c r="G577" s="64"/>
    </row>
    <row r="578" spans="3:7" ht="23.25" x14ac:dyDescent="0.25">
      <c r="C578" s="136"/>
      <c r="D578" s="57"/>
      <c r="E578" s="54"/>
      <c r="F578" s="54"/>
      <c r="G578" s="64"/>
    </row>
    <row r="579" spans="3:7" ht="23.25" x14ac:dyDescent="0.25">
      <c r="C579" s="136"/>
      <c r="D579" s="57"/>
      <c r="E579" s="54"/>
      <c r="F579" s="54"/>
      <c r="G579" s="64"/>
    </row>
    <row r="580" spans="3:7" ht="23.25" x14ac:dyDescent="0.25">
      <c r="C580" s="136"/>
      <c r="D580" s="57"/>
      <c r="E580" s="54"/>
      <c r="F580" s="54"/>
      <c r="G580" s="64"/>
    </row>
    <row r="581" spans="3:7" ht="23.25" x14ac:dyDescent="0.25">
      <c r="C581" s="136"/>
      <c r="D581" s="57"/>
      <c r="E581" s="54"/>
      <c r="F581" s="54"/>
      <c r="G581" s="64"/>
    </row>
    <row r="582" spans="3:7" ht="23.25" x14ac:dyDescent="0.25">
      <c r="C582" s="136"/>
      <c r="D582" s="57"/>
      <c r="E582" s="54"/>
      <c r="F582" s="54"/>
      <c r="G582" s="64"/>
    </row>
    <row r="583" spans="3:7" ht="23.25" x14ac:dyDescent="0.25">
      <c r="C583" s="136"/>
      <c r="D583" s="57"/>
      <c r="E583" s="54"/>
      <c r="F583" s="54"/>
      <c r="G583" s="64"/>
    </row>
    <row r="584" spans="3:7" ht="23.25" x14ac:dyDescent="0.25">
      <c r="C584" s="136"/>
      <c r="D584" s="57"/>
      <c r="E584" s="54"/>
      <c r="F584" s="54"/>
      <c r="G584" s="64"/>
    </row>
    <row r="585" spans="3:7" ht="23.25" x14ac:dyDescent="0.25">
      <c r="C585" s="136"/>
      <c r="D585" s="57"/>
      <c r="E585" s="54"/>
      <c r="F585" s="54"/>
      <c r="G585" s="64"/>
    </row>
    <row r="586" spans="3:7" ht="23.25" x14ac:dyDescent="0.25">
      <c r="C586" s="136"/>
      <c r="D586" s="57"/>
      <c r="E586" s="54"/>
      <c r="F586" s="54"/>
      <c r="G586" s="64"/>
    </row>
    <row r="587" spans="3:7" ht="23.25" x14ac:dyDescent="0.25">
      <c r="C587" s="136"/>
      <c r="D587" s="57"/>
      <c r="E587" s="54"/>
      <c r="F587" s="54"/>
      <c r="G587" s="64"/>
    </row>
    <row r="588" spans="3:7" ht="23.25" x14ac:dyDescent="0.25">
      <c r="C588" s="136"/>
      <c r="D588" s="57"/>
      <c r="E588" s="54"/>
      <c r="F588" s="54"/>
      <c r="G588" s="64"/>
    </row>
    <row r="589" spans="3:7" ht="23.25" x14ac:dyDescent="0.25">
      <c r="C589" s="136"/>
      <c r="D589" s="57"/>
      <c r="E589" s="54"/>
      <c r="F589" s="54"/>
      <c r="G589" s="64"/>
    </row>
    <row r="590" spans="3:7" ht="23.25" x14ac:dyDescent="0.25">
      <c r="C590" s="136"/>
      <c r="D590" s="57"/>
      <c r="E590" s="54"/>
      <c r="F590" s="54"/>
      <c r="G590" s="64"/>
    </row>
    <row r="591" spans="3:7" ht="23.25" x14ac:dyDescent="0.25">
      <c r="C591" s="136"/>
      <c r="D591" s="57"/>
      <c r="E591" s="54"/>
      <c r="F591" s="54"/>
      <c r="G591" s="64"/>
    </row>
    <row r="592" spans="3:7" ht="23.25" x14ac:dyDescent="0.25">
      <c r="C592" s="136"/>
      <c r="D592" s="57"/>
      <c r="E592" s="54"/>
      <c r="F592" s="54"/>
      <c r="G592" s="64"/>
    </row>
    <row r="593" spans="3:7" ht="23.25" x14ac:dyDescent="0.25">
      <c r="C593" s="136"/>
      <c r="D593" s="57"/>
      <c r="E593" s="54"/>
      <c r="F593" s="54"/>
      <c r="G593" s="64"/>
    </row>
    <row r="594" spans="3:7" ht="23.25" x14ac:dyDescent="0.25">
      <c r="C594" s="136"/>
      <c r="D594" s="57"/>
      <c r="E594" s="54"/>
      <c r="F594" s="54"/>
      <c r="G594" s="64"/>
    </row>
    <row r="595" spans="3:7" ht="23.25" x14ac:dyDescent="0.25">
      <c r="C595" s="136"/>
      <c r="D595" s="57"/>
      <c r="E595" s="54"/>
      <c r="F595" s="54"/>
      <c r="G595" s="64"/>
    </row>
    <row r="596" spans="3:7" ht="23.25" x14ac:dyDescent="0.25">
      <c r="C596" s="136"/>
      <c r="D596" s="57"/>
      <c r="E596" s="54"/>
      <c r="F596" s="54"/>
      <c r="G596" s="64"/>
    </row>
    <row r="597" spans="3:7" ht="23.25" x14ac:dyDescent="0.25">
      <c r="C597" s="136"/>
      <c r="D597" s="57"/>
      <c r="E597" s="54"/>
      <c r="F597" s="54"/>
      <c r="G597" s="64"/>
    </row>
    <row r="598" spans="3:7" ht="23.25" x14ac:dyDescent="0.25">
      <c r="C598" s="136"/>
      <c r="D598" s="57"/>
      <c r="E598" s="54"/>
      <c r="F598" s="54"/>
      <c r="G598" s="64"/>
    </row>
    <row r="599" spans="3:7" ht="23.25" x14ac:dyDescent="0.25">
      <c r="C599" s="136"/>
      <c r="D599" s="57"/>
      <c r="E599" s="54"/>
      <c r="F599" s="54"/>
      <c r="G599" s="64"/>
    </row>
    <row r="600" spans="3:7" ht="23.25" x14ac:dyDescent="0.25">
      <c r="C600" s="136"/>
      <c r="D600" s="57"/>
      <c r="E600" s="54"/>
      <c r="F600" s="54"/>
      <c r="G600" s="64"/>
    </row>
    <row r="601" spans="3:7" ht="23.25" x14ac:dyDescent="0.25">
      <c r="C601" s="136"/>
      <c r="D601" s="57"/>
      <c r="E601" s="54"/>
      <c r="F601" s="54"/>
      <c r="G601" s="64"/>
    </row>
    <row r="602" spans="3:7" ht="23.25" x14ac:dyDescent="0.25">
      <c r="C602" s="136"/>
      <c r="D602" s="57"/>
      <c r="E602" s="54"/>
      <c r="F602" s="54"/>
      <c r="G602" s="64"/>
    </row>
    <row r="603" spans="3:7" ht="23.25" x14ac:dyDescent="0.25">
      <c r="C603" s="136"/>
      <c r="D603" s="57"/>
      <c r="E603" s="54"/>
      <c r="F603" s="54"/>
      <c r="G603" s="64"/>
    </row>
    <row r="604" spans="3:7" ht="23.25" x14ac:dyDescent="0.25">
      <c r="C604" s="136"/>
      <c r="D604" s="57"/>
      <c r="E604" s="54"/>
      <c r="F604" s="54"/>
      <c r="G604" s="64"/>
    </row>
    <row r="605" spans="3:7" ht="23.25" x14ac:dyDescent="0.25">
      <c r="C605" s="136"/>
      <c r="D605" s="57"/>
      <c r="E605" s="54"/>
      <c r="F605" s="54"/>
      <c r="G605" s="64"/>
    </row>
    <row r="606" spans="3:7" ht="23.25" x14ac:dyDescent="0.25">
      <c r="C606" s="136"/>
      <c r="D606" s="57"/>
      <c r="E606" s="54"/>
      <c r="F606" s="54"/>
      <c r="G606" s="64"/>
    </row>
    <row r="607" spans="3:7" ht="23.25" x14ac:dyDescent="0.25">
      <c r="C607" s="136"/>
      <c r="D607" s="57"/>
      <c r="E607" s="54"/>
      <c r="F607" s="54"/>
      <c r="G607" s="64"/>
    </row>
    <row r="608" spans="3:7" ht="23.25" x14ac:dyDescent="0.25">
      <c r="C608" s="136"/>
      <c r="D608" s="57"/>
      <c r="E608" s="54"/>
      <c r="F608" s="54"/>
      <c r="G608" s="64"/>
    </row>
    <row r="609" spans="3:7" ht="23.25" x14ac:dyDescent="0.25">
      <c r="C609" s="136"/>
      <c r="D609" s="57"/>
      <c r="E609" s="54"/>
      <c r="F609" s="54"/>
      <c r="G609" s="64"/>
    </row>
    <row r="610" spans="3:7" ht="23.25" x14ac:dyDescent="0.25">
      <c r="C610" s="136"/>
      <c r="D610" s="57"/>
      <c r="E610" s="54"/>
      <c r="F610" s="54"/>
      <c r="G610" s="64"/>
    </row>
    <row r="611" spans="3:7" ht="23.25" x14ac:dyDescent="0.25">
      <c r="C611" s="136"/>
      <c r="D611" s="57"/>
      <c r="E611" s="54"/>
      <c r="F611" s="54"/>
      <c r="G611" s="64"/>
    </row>
    <row r="612" spans="3:7" ht="23.25" x14ac:dyDescent="0.25">
      <c r="C612" s="136"/>
      <c r="D612" s="57"/>
      <c r="E612" s="54"/>
      <c r="F612" s="54"/>
      <c r="G612" s="64"/>
    </row>
    <row r="613" spans="3:7" ht="23.25" x14ac:dyDescent="0.25">
      <c r="C613" s="136"/>
      <c r="D613" s="57"/>
      <c r="E613" s="54"/>
      <c r="F613" s="54"/>
      <c r="G613" s="64"/>
    </row>
    <row r="614" spans="3:7" ht="23.25" x14ac:dyDescent="0.25">
      <c r="C614" s="136"/>
      <c r="D614" s="57"/>
      <c r="E614" s="54"/>
      <c r="F614" s="54"/>
      <c r="G614" s="64"/>
    </row>
    <row r="615" spans="3:7" ht="23.25" x14ac:dyDescent="0.25">
      <c r="C615" s="136"/>
      <c r="D615" s="57"/>
      <c r="E615" s="54"/>
      <c r="F615" s="54"/>
      <c r="G615" s="64"/>
    </row>
    <row r="616" spans="3:7" ht="23.25" x14ac:dyDescent="0.25">
      <c r="C616" s="136"/>
      <c r="D616" s="57"/>
      <c r="E616" s="54"/>
      <c r="F616" s="54"/>
      <c r="G616" s="64"/>
    </row>
    <row r="617" spans="3:7" ht="23.25" x14ac:dyDescent="0.25">
      <c r="C617" s="136"/>
      <c r="D617" s="57"/>
      <c r="E617" s="54"/>
      <c r="F617" s="54"/>
      <c r="G617" s="64"/>
    </row>
    <row r="618" spans="3:7" ht="23.25" x14ac:dyDescent="0.25">
      <c r="C618" s="136"/>
      <c r="D618" s="57"/>
      <c r="E618" s="54"/>
      <c r="F618" s="54"/>
      <c r="G618" s="64"/>
    </row>
    <row r="619" spans="3:7" ht="23.25" x14ac:dyDescent="0.25">
      <c r="C619" s="136"/>
      <c r="D619" s="57"/>
      <c r="E619" s="54"/>
      <c r="F619" s="54"/>
      <c r="G619" s="64"/>
    </row>
    <row r="620" spans="3:7" ht="23.25" x14ac:dyDescent="0.25">
      <c r="C620" s="136"/>
      <c r="D620" s="57"/>
      <c r="E620" s="54"/>
      <c r="F620" s="54"/>
      <c r="G620" s="64"/>
    </row>
    <row r="621" spans="3:7" ht="23.25" x14ac:dyDescent="0.25">
      <c r="C621" s="136"/>
      <c r="D621" s="57"/>
      <c r="E621" s="54"/>
      <c r="F621" s="54"/>
      <c r="G621" s="64"/>
    </row>
    <row r="622" spans="3:7" ht="23.25" x14ac:dyDescent="0.25">
      <c r="C622" s="136"/>
      <c r="D622" s="57"/>
      <c r="E622" s="54"/>
      <c r="F622" s="54"/>
      <c r="G622" s="64"/>
    </row>
    <row r="623" spans="3:7" ht="23.25" x14ac:dyDescent="0.25">
      <c r="C623" s="136"/>
      <c r="D623" s="57"/>
      <c r="E623" s="54"/>
      <c r="F623" s="54"/>
      <c r="G623" s="64"/>
    </row>
    <row r="624" spans="3:7" ht="23.25" x14ac:dyDescent="0.25">
      <c r="C624" s="136"/>
      <c r="D624" s="57"/>
      <c r="E624" s="54"/>
      <c r="F624" s="54"/>
      <c r="G624" s="64"/>
    </row>
    <row r="625" spans="3:7" ht="23.25" x14ac:dyDescent="0.25">
      <c r="C625" s="136"/>
      <c r="D625" s="57"/>
      <c r="E625" s="54"/>
      <c r="F625" s="54"/>
      <c r="G625" s="64"/>
    </row>
    <row r="626" spans="3:7" ht="23.25" x14ac:dyDescent="0.25">
      <c r="C626" s="136"/>
      <c r="D626" s="57"/>
      <c r="E626" s="54"/>
      <c r="F626" s="54"/>
      <c r="G626" s="64"/>
    </row>
    <row r="627" spans="3:7" ht="23.25" x14ac:dyDescent="0.25">
      <c r="C627" s="136"/>
      <c r="D627" s="57"/>
      <c r="E627" s="54"/>
      <c r="F627" s="54"/>
      <c r="G627" s="64"/>
    </row>
    <row r="628" spans="3:7" ht="23.25" x14ac:dyDescent="0.25">
      <c r="C628" s="136"/>
      <c r="D628" s="57"/>
      <c r="E628" s="54"/>
      <c r="F628" s="54"/>
      <c r="G628" s="64"/>
    </row>
    <row r="629" spans="3:7" ht="23.25" x14ac:dyDescent="0.25">
      <c r="C629" s="136"/>
      <c r="D629" s="57"/>
      <c r="E629" s="54"/>
      <c r="F629" s="54"/>
      <c r="G629" s="64"/>
    </row>
    <row r="630" spans="3:7" ht="23.25" x14ac:dyDescent="0.25">
      <c r="C630" s="136"/>
      <c r="D630" s="57"/>
      <c r="E630" s="54"/>
      <c r="F630" s="54"/>
      <c r="G630" s="64"/>
    </row>
    <row r="631" spans="3:7" ht="23.25" x14ac:dyDescent="0.25">
      <c r="C631" s="136"/>
      <c r="D631" s="57"/>
      <c r="E631" s="54"/>
      <c r="F631" s="54"/>
      <c r="G631" s="64"/>
    </row>
    <row r="632" spans="3:7" ht="23.25" x14ac:dyDescent="0.25">
      <c r="C632" s="136"/>
      <c r="D632" s="57"/>
      <c r="E632" s="54"/>
      <c r="F632" s="54"/>
      <c r="G632" s="64"/>
    </row>
    <row r="633" spans="3:7" ht="23.25" x14ac:dyDescent="0.25">
      <c r="C633" s="136"/>
      <c r="D633" s="57"/>
      <c r="E633" s="54"/>
      <c r="F633" s="54"/>
      <c r="G633" s="64"/>
    </row>
    <row r="634" spans="3:7" ht="23.25" x14ac:dyDescent="0.25">
      <c r="C634" s="136"/>
      <c r="D634" s="57"/>
      <c r="E634" s="54"/>
      <c r="F634" s="54"/>
      <c r="G634" s="64"/>
    </row>
    <row r="635" spans="3:7" ht="23.25" x14ac:dyDescent="0.25">
      <c r="C635" s="136"/>
      <c r="D635" s="57"/>
      <c r="E635" s="54"/>
      <c r="F635" s="54"/>
      <c r="G635" s="64"/>
    </row>
    <row r="636" spans="3:7" ht="23.25" x14ac:dyDescent="0.25">
      <c r="C636" s="136"/>
      <c r="D636" s="57"/>
      <c r="E636" s="54"/>
      <c r="F636" s="54"/>
      <c r="G636" s="64"/>
    </row>
    <row r="637" spans="3:7" ht="23.25" x14ac:dyDescent="0.25">
      <c r="C637" s="136"/>
      <c r="D637" s="57"/>
      <c r="E637" s="54"/>
      <c r="F637" s="54"/>
      <c r="G637" s="64"/>
    </row>
    <row r="638" spans="3:7" ht="23.25" x14ac:dyDescent="0.25">
      <c r="C638" s="136"/>
      <c r="D638" s="57"/>
      <c r="E638" s="54"/>
      <c r="F638" s="54"/>
      <c r="G638" s="64"/>
    </row>
    <row r="639" spans="3:7" ht="23.25" x14ac:dyDescent="0.25">
      <c r="C639" s="136"/>
      <c r="D639" s="57"/>
      <c r="E639" s="54"/>
      <c r="F639" s="54"/>
      <c r="G639" s="64"/>
    </row>
    <row r="640" spans="3:7" ht="23.25" x14ac:dyDescent="0.25">
      <c r="C640" s="136"/>
      <c r="D640" s="57"/>
      <c r="E640" s="54"/>
      <c r="F640" s="54"/>
      <c r="G640" s="64"/>
    </row>
    <row r="641" spans="3:7" ht="23.25" x14ac:dyDescent="0.25">
      <c r="C641" s="136"/>
      <c r="D641" s="57"/>
      <c r="E641" s="54"/>
      <c r="F641" s="54"/>
      <c r="G641" s="64"/>
    </row>
    <row r="642" spans="3:7" ht="23.25" x14ac:dyDescent="0.25">
      <c r="C642" s="136"/>
      <c r="D642" s="57"/>
      <c r="E642" s="54"/>
      <c r="F642" s="54"/>
      <c r="G642" s="64"/>
    </row>
    <row r="643" spans="3:7" ht="23.25" x14ac:dyDescent="0.25">
      <c r="C643" s="136"/>
      <c r="D643" s="57"/>
      <c r="E643" s="54"/>
      <c r="F643" s="54"/>
      <c r="G643" s="64"/>
    </row>
    <row r="644" spans="3:7" ht="23.25" x14ac:dyDescent="0.25">
      <c r="C644" s="136"/>
      <c r="D644" s="57"/>
      <c r="E644" s="54"/>
      <c r="F644" s="54"/>
      <c r="G644" s="64"/>
    </row>
    <row r="645" spans="3:7" ht="23.25" x14ac:dyDescent="0.25">
      <c r="C645" s="136"/>
      <c r="D645" s="57"/>
      <c r="E645" s="54"/>
      <c r="F645" s="54"/>
      <c r="G645" s="64"/>
    </row>
    <row r="646" spans="3:7" ht="23.25" x14ac:dyDescent="0.25">
      <c r="C646" s="136"/>
      <c r="D646" s="57"/>
      <c r="E646" s="54"/>
      <c r="F646" s="54"/>
      <c r="G646" s="64"/>
    </row>
    <row r="647" spans="3:7" ht="23.25" x14ac:dyDescent="0.25">
      <c r="C647" s="136"/>
      <c r="D647" s="57"/>
      <c r="E647" s="54"/>
      <c r="F647" s="54"/>
      <c r="G647" s="64"/>
    </row>
    <row r="648" spans="3:7" ht="23.25" x14ac:dyDescent="0.25">
      <c r="C648" s="136"/>
      <c r="D648" s="57"/>
      <c r="E648" s="54"/>
      <c r="F648" s="54"/>
      <c r="G648" s="64"/>
    </row>
    <row r="649" spans="3:7" ht="23.25" x14ac:dyDescent="0.25">
      <c r="C649" s="136"/>
      <c r="D649" s="57"/>
      <c r="E649" s="54"/>
      <c r="F649" s="54"/>
      <c r="G649" s="64"/>
    </row>
    <row r="650" spans="3:7" ht="23.25" x14ac:dyDescent="0.25">
      <c r="C650" s="136"/>
      <c r="D650" s="57"/>
      <c r="E650" s="54"/>
      <c r="F650" s="54"/>
      <c r="G650" s="64"/>
    </row>
    <row r="651" spans="3:7" ht="23.25" x14ac:dyDescent="0.25">
      <c r="C651" s="136"/>
      <c r="D651" s="57"/>
      <c r="E651" s="54"/>
      <c r="F651" s="54"/>
      <c r="G651" s="64"/>
    </row>
    <row r="652" spans="3:7" ht="23.25" x14ac:dyDescent="0.25">
      <c r="C652" s="136"/>
      <c r="D652" s="57"/>
      <c r="E652" s="54"/>
      <c r="F652" s="54"/>
      <c r="G652" s="64"/>
    </row>
    <row r="653" spans="3:7" ht="23.25" x14ac:dyDescent="0.25">
      <c r="C653" s="136"/>
      <c r="D653" s="57"/>
      <c r="E653" s="54"/>
      <c r="F653" s="54"/>
      <c r="G653" s="64"/>
    </row>
    <row r="654" spans="3:7" ht="23.25" x14ac:dyDescent="0.25">
      <c r="C654" s="136"/>
      <c r="D654" s="57"/>
      <c r="E654" s="54"/>
      <c r="F654" s="54"/>
      <c r="G654" s="64"/>
    </row>
    <row r="655" spans="3:7" ht="23.25" x14ac:dyDescent="0.25">
      <c r="C655" s="136"/>
      <c r="D655" s="57"/>
      <c r="E655" s="54"/>
      <c r="F655" s="54"/>
      <c r="G655" s="64"/>
    </row>
    <row r="656" spans="3:7" ht="23.25" x14ac:dyDescent="0.25">
      <c r="C656" s="136"/>
      <c r="D656" s="57"/>
      <c r="E656" s="54"/>
      <c r="F656" s="54"/>
      <c r="G656" s="64"/>
    </row>
    <row r="657" spans="3:7" ht="23.25" x14ac:dyDescent="0.25">
      <c r="C657" s="136"/>
      <c r="D657" s="57"/>
      <c r="E657" s="54"/>
      <c r="F657" s="54"/>
      <c r="G657" s="64"/>
    </row>
    <row r="658" spans="3:7" ht="23.25" x14ac:dyDescent="0.25">
      <c r="C658" s="136"/>
      <c r="D658" s="57"/>
      <c r="E658" s="54"/>
      <c r="F658" s="54"/>
      <c r="G658" s="64"/>
    </row>
    <row r="659" spans="3:7" ht="23.25" x14ac:dyDescent="0.25">
      <c r="C659" s="136"/>
      <c r="D659" s="57"/>
      <c r="E659" s="54"/>
      <c r="F659" s="54"/>
      <c r="G659" s="64"/>
    </row>
    <row r="660" spans="3:7" ht="23.25" x14ac:dyDescent="0.25">
      <c r="C660" s="136"/>
      <c r="E660" s="54"/>
      <c r="F660" s="54"/>
      <c r="G660" s="64"/>
    </row>
    <row r="661" spans="3:7" ht="23.25" x14ac:dyDescent="0.25">
      <c r="C661" s="136"/>
      <c r="E661" s="54"/>
      <c r="F661" s="54"/>
      <c r="G661" s="64"/>
    </row>
    <row r="662" spans="3:7" ht="23.25" x14ac:dyDescent="0.25">
      <c r="C662" s="136"/>
      <c r="E662" s="54"/>
      <c r="F662" s="54"/>
      <c r="G662" s="64"/>
    </row>
    <row r="663" spans="3:7" ht="23.25" x14ac:dyDescent="0.25">
      <c r="C663" s="136"/>
      <c r="E663" s="54"/>
      <c r="F663" s="54"/>
      <c r="G663" s="64"/>
    </row>
    <row r="664" spans="3:7" ht="23.25" x14ac:dyDescent="0.25">
      <c r="C664" s="136"/>
      <c r="E664" s="54"/>
      <c r="F664" s="54"/>
      <c r="G664" s="64"/>
    </row>
    <row r="665" spans="3:7" ht="23.25" x14ac:dyDescent="0.25">
      <c r="C665" s="136"/>
      <c r="E665" s="54"/>
      <c r="F665" s="54"/>
      <c r="G665" s="64"/>
    </row>
    <row r="666" spans="3:7" ht="23.25" x14ac:dyDescent="0.25">
      <c r="C666" s="136"/>
      <c r="E666" s="54"/>
      <c r="F666" s="54"/>
      <c r="G666" s="64"/>
    </row>
    <row r="667" spans="3:7" ht="23.25" x14ac:dyDescent="0.25">
      <c r="C667" s="136"/>
      <c r="E667" s="54"/>
      <c r="F667" s="54"/>
      <c r="G667" s="64"/>
    </row>
    <row r="668" spans="3:7" ht="23.25" x14ac:dyDescent="0.25">
      <c r="C668" s="136"/>
      <c r="E668" s="54"/>
      <c r="F668" s="54"/>
      <c r="G668" s="64"/>
    </row>
    <row r="669" spans="3:7" ht="23.25" x14ac:dyDescent="0.25">
      <c r="C669" s="136"/>
      <c r="E669" s="54"/>
      <c r="F669" s="54"/>
      <c r="G669" s="64"/>
    </row>
    <row r="670" spans="3:7" ht="23.25" x14ac:dyDescent="0.25">
      <c r="C670" s="136"/>
      <c r="E670" s="54"/>
      <c r="F670" s="54"/>
      <c r="G670" s="64"/>
    </row>
    <row r="671" spans="3:7" ht="23.25" x14ac:dyDescent="0.25">
      <c r="C671" s="136"/>
      <c r="E671" s="54"/>
      <c r="F671" s="54"/>
      <c r="G671" s="64"/>
    </row>
    <row r="672" spans="3:7" ht="23.25" x14ac:dyDescent="0.25">
      <c r="C672" s="136"/>
      <c r="E672" s="54"/>
      <c r="F672" s="54"/>
      <c r="G672" s="64"/>
    </row>
    <row r="673" spans="3:7" ht="23.25" x14ac:dyDescent="0.25">
      <c r="C673" s="136"/>
      <c r="E673" s="54"/>
      <c r="F673" s="54"/>
      <c r="G673" s="64"/>
    </row>
    <row r="674" spans="3:7" ht="23.25" x14ac:dyDescent="0.25">
      <c r="C674" s="136"/>
      <c r="E674" s="54"/>
      <c r="F674" s="54"/>
      <c r="G674" s="64"/>
    </row>
    <row r="675" spans="3:7" ht="23.25" x14ac:dyDescent="0.25">
      <c r="C675" s="136"/>
      <c r="E675" s="54"/>
      <c r="F675" s="54"/>
      <c r="G675" s="64"/>
    </row>
    <row r="676" spans="3:7" ht="23.25" x14ac:dyDescent="0.25">
      <c r="C676" s="136"/>
      <c r="E676" s="54"/>
      <c r="F676" s="54"/>
      <c r="G676" s="64"/>
    </row>
    <row r="677" spans="3:7" ht="23.25" x14ac:dyDescent="0.25">
      <c r="C677" s="136"/>
      <c r="F677" s="54"/>
      <c r="G677" s="64"/>
    </row>
    <row r="678" spans="3:7" ht="23.25" x14ac:dyDescent="0.25">
      <c r="C678" s="136"/>
      <c r="G678" s="64"/>
    </row>
    <row r="679" spans="3:7" ht="23.25" x14ac:dyDescent="0.25">
      <c r="C679" s="136"/>
      <c r="G679" s="64"/>
    </row>
    <row r="680" spans="3:7" ht="23.25" x14ac:dyDescent="0.25">
      <c r="C680" s="136"/>
      <c r="G680" s="64"/>
    </row>
    <row r="681" spans="3:7" ht="23.25" x14ac:dyDescent="0.25">
      <c r="C681" s="136"/>
      <c r="G681" s="64"/>
    </row>
    <row r="682" spans="3:7" ht="23.25" x14ac:dyDescent="0.25">
      <c r="C682" s="136"/>
      <c r="G682" s="64"/>
    </row>
    <row r="683" spans="3:7" ht="23.25" x14ac:dyDescent="0.25">
      <c r="C683" s="136"/>
      <c r="G683" s="64"/>
    </row>
    <row r="684" spans="3:7" ht="23.25" x14ac:dyDescent="0.25">
      <c r="C684" s="136"/>
      <c r="G684" s="64"/>
    </row>
    <row r="685" spans="3:7" ht="15.75" x14ac:dyDescent="0.25">
      <c r="C685" s="136"/>
    </row>
    <row r="686" spans="3:7" ht="15.75" x14ac:dyDescent="0.25">
      <c r="C686" s="136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7481B-8DDF-429A-8929-E32027AD832B}">
  <dimension ref="F40:AL109"/>
  <sheetViews>
    <sheetView workbookViewId="0"/>
  </sheetViews>
  <sheetFormatPr defaultRowHeight="11.25" x14ac:dyDescent="0.25"/>
  <cols>
    <col min="1" max="1" width="3.85546875" style="86" customWidth="1"/>
    <col min="2" max="2" width="9.140625" style="86"/>
    <col min="3" max="3" width="48.42578125" style="86" customWidth="1"/>
    <col min="4" max="4" width="8.7109375" style="86" bestFit="1" customWidth="1"/>
    <col min="5" max="5" width="17.28515625" style="86" bestFit="1" customWidth="1"/>
    <col min="6" max="6" width="13" style="87" bestFit="1" customWidth="1"/>
    <col min="7" max="7" width="7.28515625" style="86" bestFit="1" customWidth="1"/>
    <col min="8" max="8" width="3" style="86" bestFit="1" customWidth="1"/>
    <col min="9" max="9" width="26.5703125" style="86" bestFit="1" customWidth="1"/>
    <col min="10" max="10" width="5.85546875" style="86" bestFit="1" customWidth="1"/>
    <col min="11" max="11" width="5.5703125" style="86" bestFit="1" customWidth="1"/>
    <col min="12" max="14" width="8.42578125" style="86" bestFit="1" customWidth="1"/>
    <col min="15" max="15" width="37.140625" style="86" customWidth="1"/>
    <col min="16" max="16" width="5.140625" style="86" customWidth="1"/>
    <col min="17" max="17" width="8.28515625" style="86" customWidth="1"/>
    <col min="18" max="18" width="5.85546875" style="86" bestFit="1" customWidth="1"/>
    <col min="19" max="20" width="9.140625" style="86"/>
    <col min="21" max="21" width="26" style="86" bestFit="1" customWidth="1"/>
    <col min="22" max="22" width="8" style="86" bestFit="1" customWidth="1"/>
    <col min="23" max="23" width="7.42578125" style="86" customWidth="1"/>
    <col min="24" max="24" width="8.42578125" style="86" bestFit="1" customWidth="1"/>
    <col min="25" max="26" width="9.140625" style="86"/>
    <col min="27" max="27" width="33.42578125" style="86" customWidth="1"/>
    <col min="28" max="28" width="10.140625" style="86" customWidth="1"/>
    <col min="29" max="29" width="8.7109375" style="86" bestFit="1" customWidth="1"/>
    <col min="30" max="30" width="11.5703125" style="86" bestFit="1" customWidth="1"/>
    <col min="31" max="31" width="13" style="86" bestFit="1" customWidth="1"/>
    <col min="32" max="34" width="9.140625" style="86"/>
    <col min="35" max="35" width="60.140625" style="86" bestFit="1" customWidth="1"/>
    <col min="36" max="36" width="8.7109375" style="86" customWidth="1"/>
    <col min="37" max="37" width="11.5703125" style="86" bestFit="1" customWidth="1"/>
    <col min="38" max="38" width="13" style="86" bestFit="1" customWidth="1"/>
    <col min="39" max="41" width="9.140625" style="86"/>
    <col min="42" max="42" width="61.28515625" style="86" bestFit="1" customWidth="1"/>
    <col min="43" max="43" width="8.7109375" style="86" bestFit="1" customWidth="1"/>
    <col min="44" max="44" width="11.5703125" style="86" bestFit="1" customWidth="1"/>
    <col min="45" max="45" width="13" style="86" bestFit="1" customWidth="1"/>
    <col min="46" max="16384" width="9.140625" style="86"/>
  </cols>
  <sheetData>
    <row r="40" spans="8:31" ht="12" thickBot="1" x14ac:dyDescent="0.3">
      <c r="N40" s="86" t="e">
        <f>+ленты</f>
        <v>#NAME?</v>
      </c>
    </row>
    <row r="41" spans="8:31" ht="23.25" thickBot="1" x14ac:dyDescent="0.3">
      <c r="H41" s="88"/>
      <c r="I41" s="89" t="s">
        <v>0</v>
      </c>
      <c r="J41" s="89" t="s">
        <v>1</v>
      </c>
      <c r="K41" s="89" t="s">
        <v>2</v>
      </c>
      <c r="L41" s="90" t="s">
        <v>297</v>
      </c>
      <c r="N41" s="91" t="s">
        <v>340</v>
      </c>
      <c r="O41" s="92" t="s">
        <v>292</v>
      </c>
      <c r="P41" s="93" t="s">
        <v>293</v>
      </c>
      <c r="Q41" s="93" t="s">
        <v>294</v>
      </c>
      <c r="R41" s="94" t="s">
        <v>295</v>
      </c>
      <c r="U41" s="95" t="s">
        <v>0</v>
      </c>
      <c r="V41" s="96" t="s">
        <v>378</v>
      </c>
      <c r="W41" s="97" t="s">
        <v>294</v>
      </c>
      <c r="X41" s="98" t="s">
        <v>297</v>
      </c>
    </row>
    <row r="42" spans="8:31" ht="16.5" thickBot="1" x14ac:dyDescent="0.3">
      <c r="H42" s="99">
        <v>1</v>
      </c>
      <c r="I42" s="100" t="s">
        <v>118</v>
      </c>
      <c r="J42" s="100">
        <v>1</v>
      </c>
      <c r="K42" s="100">
        <v>550</v>
      </c>
      <c r="L42" s="101">
        <f>K42*J42</f>
        <v>550</v>
      </c>
      <c r="O42" s="102" t="s">
        <v>118</v>
      </c>
      <c r="P42" s="103">
        <v>1</v>
      </c>
      <c r="Q42" s="103">
        <v>550</v>
      </c>
      <c r="R42" s="98">
        <f t="shared" ref="R42:R73" si="0">Q42*P42</f>
        <v>550</v>
      </c>
      <c r="U42" s="104" t="s">
        <v>379</v>
      </c>
      <c r="V42" s="105">
        <v>81</v>
      </c>
      <c r="W42" s="105">
        <v>85</v>
      </c>
      <c r="X42" s="106">
        <f>V42*W42</f>
        <v>6885</v>
      </c>
      <c r="AA42" s="154" t="s">
        <v>379</v>
      </c>
      <c r="AB42" s="147" t="s">
        <v>293</v>
      </c>
      <c r="AC42" s="147">
        <v>3</v>
      </c>
      <c r="AD42" s="147">
        <v>85</v>
      </c>
      <c r="AE42" s="147">
        <f>AD42*AC42</f>
        <v>255</v>
      </c>
    </row>
    <row r="43" spans="8:31" ht="16.5" thickBot="1" x14ac:dyDescent="0.3">
      <c r="H43" s="99">
        <v>2</v>
      </c>
      <c r="I43" s="100" t="s">
        <v>304</v>
      </c>
      <c r="J43" s="100">
        <v>3</v>
      </c>
      <c r="K43" s="100">
        <v>85</v>
      </c>
      <c r="L43" s="101">
        <f t="shared" ref="L43:L73" si="1">K43*J43</f>
        <v>255</v>
      </c>
      <c r="O43" s="107" t="s">
        <v>119</v>
      </c>
      <c r="P43" s="108">
        <v>3</v>
      </c>
      <c r="Q43" s="108">
        <v>85</v>
      </c>
      <c r="R43" s="106">
        <f t="shared" si="0"/>
        <v>255</v>
      </c>
      <c r="U43" s="104" t="s">
        <v>380</v>
      </c>
      <c r="V43" s="105">
        <v>27</v>
      </c>
      <c r="W43" s="105">
        <v>225</v>
      </c>
      <c r="X43" s="106">
        <f t="shared" ref="X43:X73" si="2">V43*W43</f>
        <v>6075</v>
      </c>
      <c r="AA43" s="155" t="s">
        <v>380</v>
      </c>
      <c r="AB43" s="148" t="s">
        <v>293</v>
      </c>
      <c r="AC43" s="148">
        <v>1</v>
      </c>
      <c r="AD43" s="148">
        <v>225</v>
      </c>
      <c r="AE43" s="147">
        <f t="shared" ref="AE43:AE73" si="3">AD43*AC43</f>
        <v>225</v>
      </c>
    </row>
    <row r="44" spans="8:31" ht="16.5" thickBot="1" x14ac:dyDescent="0.3">
      <c r="H44" s="99">
        <v>3</v>
      </c>
      <c r="I44" s="100" t="s">
        <v>305</v>
      </c>
      <c r="J44" s="100">
        <v>1</v>
      </c>
      <c r="K44" s="100">
        <v>225</v>
      </c>
      <c r="L44" s="101">
        <f t="shared" si="1"/>
        <v>225</v>
      </c>
      <c r="O44" s="107" t="s">
        <v>120</v>
      </c>
      <c r="P44" s="108">
        <v>1</v>
      </c>
      <c r="Q44" s="108">
        <v>225</v>
      </c>
      <c r="R44" s="106">
        <f t="shared" si="0"/>
        <v>225</v>
      </c>
      <c r="U44" s="104" t="s">
        <v>381</v>
      </c>
      <c r="V44" s="105">
        <v>216</v>
      </c>
      <c r="W44" s="105">
        <v>185</v>
      </c>
      <c r="X44" s="106">
        <f t="shared" si="2"/>
        <v>39960</v>
      </c>
      <c r="AA44" s="155" t="s">
        <v>381</v>
      </c>
      <c r="AB44" s="148" t="s">
        <v>293</v>
      </c>
      <c r="AC44" s="148">
        <v>8</v>
      </c>
      <c r="AD44" s="148">
        <v>185</v>
      </c>
      <c r="AE44" s="147">
        <f t="shared" si="3"/>
        <v>1480</v>
      </c>
    </row>
    <row r="45" spans="8:31" ht="23.25" thickBot="1" x14ac:dyDescent="0.3">
      <c r="H45" s="99">
        <v>4</v>
      </c>
      <c r="I45" s="100" t="s">
        <v>306</v>
      </c>
      <c r="J45" s="100">
        <v>8</v>
      </c>
      <c r="K45" s="100">
        <v>185</v>
      </c>
      <c r="L45" s="101">
        <f t="shared" si="1"/>
        <v>1480</v>
      </c>
      <c r="O45" s="107" t="s">
        <v>121</v>
      </c>
      <c r="P45" s="108">
        <v>8</v>
      </c>
      <c r="Q45" s="108">
        <v>185</v>
      </c>
      <c r="R45" s="106">
        <f t="shared" si="0"/>
        <v>1480</v>
      </c>
      <c r="U45" s="104" t="s">
        <v>382</v>
      </c>
      <c r="V45" s="105">
        <v>135</v>
      </c>
      <c r="W45" s="105">
        <v>85</v>
      </c>
      <c r="X45" s="106">
        <f t="shared" si="2"/>
        <v>11475</v>
      </c>
      <c r="AA45" s="155" t="s">
        <v>382</v>
      </c>
      <c r="AB45" s="148" t="s">
        <v>293</v>
      </c>
      <c r="AC45" s="148">
        <v>5</v>
      </c>
      <c r="AD45" s="148">
        <v>85</v>
      </c>
      <c r="AE45" s="147">
        <f t="shared" si="3"/>
        <v>425</v>
      </c>
    </row>
    <row r="46" spans="8:31" ht="16.5" thickBot="1" x14ac:dyDescent="0.3">
      <c r="H46" s="99">
        <v>5</v>
      </c>
      <c r="I46" s="100" t="s">
        <v>307</v>
      </c>
      <c r="J46" s="100">
        <v>5</v>
      </c>
      <c r="K46" s="100">
        <v>85</v>
      </c>
      <c r="L46" s="101">
        <f t="shared" si="1"/>
        <v>425</v>
      </c>
      <c r="O46" s="107" t="s">
        <v>122</v>
      </c>
      <c r="P46" s="108">
        <v>5</v>
      </c>
      <c r="Q46" s="108">
        <v>85</v>
      </c>
      <c r="R46" s="106">
        <f t="shared" si="0"/>
        <v>425</v>
      </c>
      <c r="U46" s="104" t="s">
        <v>383</v>
      </c>
      <c r="V46" s="105">
        <v>432</v>
      </c>
      <c r="W46" s="105">
        <v>85</v>
      </c>
      <c r="X46" s="106">
        <f t="shared" si="2"/>
        <v>36720</v>
      </c>
      <c r="AA46" s="155" t="s">
        <v>383</v>
      </c>
      <c r="AB46" s="148" t="s">
        <v>293</v>
      </c>
      <c r="AC46" s="148">
        <v>16</v>
      </c>
      <c r="AD46" s="148">
        <v>85</v>
      </c>
      <c r="AE46" s="147">
        <f t="shared" si="3"/>
        <v>1360</v>
      </c>
    </row>
    <row r="47" spans="8:31" ht="23.25" thickBot="1" x14ac:dyDescent="0.3">
      <c r="H47" s="99">
        <v>6</v>
      </c>
      <c r="I47" s="100" t="s">
        <v>308</v>
      </c>
      <c r="J47" s="100">
        <v>16</v>
      </c>
      <c r="K47" s="100">
        <v>85</v>
      </c>
      <c r="L47" s="101">
        <f t="shared" si="1"/>
        <v>1360</v>
      </c>
      <c r="O47" s="107" t="s">
        <v>123</v>
      </c>
      <c r="P47" s="108">
        <v>16</v>
      </c>
      <c r="Q47" s="108">
        <v>85</v>
      </c>
      <c r="R47" s="106">
        <f t="shared" si="0"/>
        <v>1360</v>
      </c>
      <c r="U47" s="104" t="s">
        <v>384</v>
      </c>
      <c r="V47" s="105">
        <v>567</v>
      </c>
      <c r="W47" s="105">
        <v>85</v>
      </c>
      <c r="X47" s="106">
        <f t="shared" si="2"/>
        <v>48195</v>
      </c>
      <c r="AA47" s="155" t="s">
        <v>384</v>
      </c>
      <c r="AB47" s="148" t="s">
        <v>293</v>
      </c>
      <c r="AC47" s="148">
        <v>21</v>
      </c>
      <c r="AD47" s="148">
        <v>85</v>
      </c>
      <c r="AE47" s="147">
        <f t="shared" si="3"/>
        <v>1785</v>
      </c>
    </row>
    <row r="48" spans="8:31" ht="16.5" thickBot="1" x14ac:dyDescent="0.3">
      <c r="H48" s="99">
        <v>7</v>
      </c>
      <c r="I48" s="100" t="s">
        <v>309</v>
      </c>
      <c r="J48" s="100">
        <v>21</v>
      </c>
      <c r="K48" s="100">
        <v>85</v>
      </c>
      <c r="L48" s="101">
        <f t="shared" si="1"/>
        <v>1785</v>
      </c>
      <c r="O48" s="107" t="s">
        <v>124</v>
      </c>
      <c r="P48" s="108">
        <v>21</v>
      </c>
      <c r="Q48" s="108">
        <v>85</v>
      </c>
      <c r="R48" s="106">
        <f t="shared" si="0"/>
        <v>1785</v>
      </c>
      <c r="U48" s="104" t="s">
        <v>385</v>
      </c>
      <c r="V48" s="105">
        <v>216</v>
      </c>
      <c r="W48" s="105">
        <v>135</v>
      </c>
      <c r="X48" s="106">
        <f t="shared" si="2"/>
        <v>29160</v>
      </c>
      <c r="AA48" s="155" t="s">
        <v>385</v>
      </c>
      <c r="AB48" s="148" t="s">
        <v>293</v>
      </c>
      <c r="AC48" s="148">
        <v>8</v>
      </c>
      <c r="AD48" s="148">
        <v>135</v>
      </c>
      <c r="AE48" s="147">
        <f t="shared" si="3"/>
        <v>1080</v>
      </c>
    </row>
    <row r="49" spans="8:31" ht="23.25" thickBot="1" x14ac:dyDescent="0.3">
      <c r="H49" s="99">
        <v>8</v>
      </c>
      <c r="I49" s="100" t="s">
        <v>220</v>
      </c>
      <c r="J49" s="100">
        <v>8</v>
      </c>
      <c r="K49" s="100">
        <v>135</v>
      </c>
      <c r="L49" s="101">
        <f t="shared" si="1"/>
        <v>1080</v>
      </c>
      <c r="O49" s="107" t="s">
        <v>125</v>
      </c>
      <c r="P49" s="108">
        <v>8</v>
      </c>
      <c r="Q49" s="108">
        <v>135</v>
      </c>
      <c r="R49" s="106">
        <f t="shared" si="0"/>
        <v>1080</v>
      </c>
      <c r="U49" s="104" t="s">
        <v>386</v>
      </c>
      <c r="V49" s="105">
        <v>162</v>
      </c>
      <c r="W49" s="105">
        <v>15.5</v>
      </c>
      <c r="X49" s="106">
        <f t="shared" si="2"/>
        <v>2511</v>
      </c>
      <c r="AA49" s="155" t="s">
        <v>386</v>
      </c>
      <c r="AB49" s="148" t="s">
        <v>293</v>
      </c>
      <c r="AC49" s="148">
        <v>6</v>
      </c>
      <c r="AD49" s="148">
        <v>15.5</v>
      </c>
      <c r="AE49" s="147">
        <f t="shared" si="3"/>
        <v>93</v>
      </c>
    </row>
    <row r="50" spans="8:31" ht="16.5" thickBot="1" x14ac:dyDescent="0.3">
      <c r="H50" s="99">
        <v>9</v>
      </c>
      <c r="I50" s="100" t="s">
        <v>310</v>
      </c>
      <c r="J50" s="100">
        <v>6</v>
      </c>
      <c r="K50" s="100">
        <v>15.5</v>
      </c>
      <c r="L50" s="101">
        <f t="shared" si="1"/>
        <v>93</v>
      </c>
      <c r="O50" s="107" t="s">
        <v>126</v>
      </c>
      <c r="P50" s="108">
        <v>6</v>
      </c>
      <c r="Q50" s="108">
        <v>15.5</v>
      </c>
      <c r="R50" s="106">
        <f t="shared" si="0"/>
        <v>93</v>
      </c>
      <c r="U50" s="104" t="s">
        <v>387</v>
      </c>
      <c r="V50" s="105">
        <v>162</v>
      </c>
      <c r="W50" s="105">
        <v>15.5</v>
      </c>
      <c r="X50" s="106">
        <f t="shared" si="2"/>
        <v>2511</v>
      </c>
      <c r="AA50" s="155" t="s">
        <v>387</v>
      </c>
      <c r="AB50" s="148" t="s">
        <v>293</v>
      </c>
      <c r="AC50" s="148">
        <v>6</v>
      </c>
      <c r="AD50" s="148">
        <v>15.5</v>
      </c>
      <c r="AE50" s="147">
        <f t="shared" si="3"/>
        <v>93</v>
      </c>
    </row>
    <row r="51" spans="8:31" ht="16.5" thickBot="1" x14ac:dyDescent="0.3">
      <c r="H51" s="99">
        <v>10</v>
      </c>
      <c r="I51" s="100" t="s">
        <v>311</v>
      </c>
      <c r="J51" s="100">
        <v>6</v>
      </c>
      <c r="K51" s="100">
        <v>15.5</v>
      </c>
      <c r="L51" s="101">
        <f t="shared" si="1"/>
        <v>93</v>
      </c>
      <c r="O51" s="107" t="s">
        <v>127</v>
      </c>
      <c r="P51" s="108">
        <v>6</v>
      </c>
      <c r="Q51" s="108">
        <v>15.5</v>
      </c>
      <c r="R51" s="106">
        <f t="shared" si="0"/>
        <v>93</v>
      </c>
      <c r="U51" s="104" t="s">
        <v>312</v>
      </c>
      <c r="V51" s="105">
        <v>27</v>
      </c>
      <c r="W51" s="105">
        <v>200</v>
      </c>
      <c r="X51" s="106">
        <f t="shared" si="2"/>
        <v>5400</v>
      </c>
      <c r="AA51" s="155" t="s">
        <v>312</v>
      </c>
      <c r="AB51" s="148" t="s">
        <v>293</v>
      </c>
      <c r="AC51" s="148">
        <v>1</v>
      </c>
      <c r="AD51" s="148">
        <v>200</v>
      </c>
      <c r="AE51" s="147">
        <f t="shared" si="3"/>
        <v>200</v>
      </c>
    </row>
    <row r="52" spans="8:31" ht="19.5" customHeight="1" thickBot="1" x14ac:dyDescent="0.3">
      <c r="H52" s="99">
        <v>11</v>
      </c>
      <c r="I52" s="100" t="s">
        <v>312</v>
      </c>
      <c r="J52" s="100">
        <v>1</v>
      </c>
      <c r="K52" s="100">
        <v>200</v>
      </c>
      <c r="L52" s="101">
        <f t="shared" si="1"/>
        <v>200</v>
      </c>
      <c r="O52" s="109" t="s">
        <v>128</v>
      </c>
      <c r="P52" s="108">
        <v>1</v>
      </c>
      <c r="Q52" s="108">
        <v>200</v>
      </c>
      <c r="R52" s="106">
        <f t="shared" si="0"/>
        <v>200</v>
      </c>
      <c r="U52" s="104" t="s">
        <v>405</v>
      </c>
      <c r="V52" s="105">
        <v>27</v>
      </c>
      <c r="W52" s="105">
        <v>360</v>
      </c>
      <c r="X52" s="106">
        <f t="shared" si="2"/>
        <v>9720</v>
      </c>
      <c r="AA52" s="155" t="s">
        <v>405</v>
      </c>
      <c r="AB52" s="148" t="s">
        <v>293</v>
      </c>
      <c r="AC52" s="148">
        <v>1</v>
      </c>
      <c r="AD52" s="148">
        <v>360</v>
      </c>
      <c r="AE52" s="147">
        <f t="shared" si="3"/>
        <v>360</v>
      </c>
    </row>
    <row r="53" spans="8:31" ht="23.25" thickBot="1" x14ac:dyDescent="0.3">
      <c r="H53" s="99">
        <v>12</v>
      </c>
      <c r="I53" s="100" t="s">
        <v>313</v>
      </c>
      <c r="J53" s="100">
        <v>1</v>
      </c>
      <c r="K53" s="100">
        <v>360</v>
      </c>
      <c r="L53" s="101">
        <f t="shared" si="1"/>
        <v>360</v>
      </c>
      <c r="O53" s="109" t="s">
        <v>129</v>
      </c>
      <c r="P53" s="108">
        <v>24</v>
      </c>
      <c r="Q53" s="108">
        <v>360</v>
      </c>
      <c r="R53" s="106">
        <f t="shared" si="0"/>
        <v>8640</v>
      </c>
      <c r="U53" s="104" t="s">
        <v>406</v>
      </c>
      <c r="V53" s="105">
        <v>27</v>
      </c>
      <c r="W53" s="105">
        <v>360</v>
      </c>
      <c r="X53" s="106">
        <f t="shared" si="2"/>
        <v>9720</v>
      </c>
      <c r="AA53" s="155" t="s">
        <v>406</v>
      </c>
      <c r="AB53" s="148" t="s">
        <v>293</v>
      </c>
      <c r="AC53" s="148">
        <v>1</v>
      </c>
      <c r="AD53" s="148">
        <v>360</v>
      </c>
      <c r="AE53" s="147">
        <f t="shared" si="3"/>
        <v>360</v>
      </c>
    </row>
    <row r="54" spans="8:31" ht="17.25" customHeight="1" thickBot="1" x14ac:dyDescent="0.3">
      <c r="H54" s="99">
        <v>13</v>
      </c>
      <c r="I54" s="100" t="s">
        <v>314</v>
      </c>
      <c r="J54" s="100">
        <v>1</v>
      </c>
      <c r="K54" s="100">
        <v>360</v>
      </c>
      <c r="L54" s="101">
        <f t="shared" si="1"/>
        <v>360</v>
      </c>
      <c r="O54" s="109" t="s">
        <v>130</v>
      </c>
      <c r="P54" s="108">
        <v>12</v>
      </c>
      <c r="Q54" s="108">
        <v>180</v>
      </c>
      <c r="R54" s="106">
        <f t="shared" si="0"/>
        <v>2160</v>
      </c>
      <c r="U54" s="104" t="s">
        <v>388</v>
      </c>
      <c r="V54" s="105">
        <v>27</v>
      </c>
      <c r="W54" s="105">
        <v>85</v>
      </c>
      <c r="X54" s="106">
        <f t="shared" si="2"/>
        <v>2295</v>
      </c>
      <c r="AA54" s="155" t="s">
        <v>388</v>
      </c>
      <c r="AB54" s="148" t="s">
        <v>293</v>
      </c>
      <c r="AC54" s="148">
        <v>1</v>
      </c>
      <c r="AD54" s="148">
        <v>85</v>
      </c>
      <c r="AE54" s="147">
        <f t="shared" si="3"/>
        <v>85</v>
      </c>
    </row>
    <row r="55" spans="8:31" ht="16.5" thickBot="1" x14ac:dyDescent="0.3">
      <c r="H55" s="99">
        <v>14</v>
      </c>
      <c r="I55" s="100" t="s">
        <v>315</v>
      </c>
      <c r="J55" s="100">
        <v>1</v>
      </c>
      <c r="K55" s="100">
        <v>85</v>
      </c>
      <c r="L55" s="101">
        <f t="shared" si="1"/>
        <v>85</v>
      </c>
      <c r="O55" s="109" t="s">
        <v>131</v>
      </c>
      <c r="P55" s="108">
        <v>12</v>
      </c>
      <c r="Q55" s="108">
        <v>180</v>
      </c>
      <c r="R55" s="106">
        <f t="shared" si="0"/>
        <v>2160</v>
      </c>
      <c r="U55" s="104" t="s">
        <v>296</v>
      </c>
      <c r="V55" s="105">
        <v>27</v>
      </c>
      <c r="W55" s="105">
        <v>1250</v>
      </c>
      <c r="X55" s="106">
        <f t="shared" si="2"/>
        <v>33750</v>
      </c>
      <c r="AA55" s="155" t="s">
        <v>296</v>
      </c>
      <c r="AB55" s="148" t="s">
        <v>293</v>
      </c>
      <c r="AC55" s="148">
        <v>1</v>
      </c>
      <c r="AD55" s="148">
        <v>1250</v>
      </c>
      <c r="AE55" s="147">
        <f t="shared" si="3"/>
        <v>1250</v>
      </c>
    </row>
    <row r="56" spans="8:31" ht="23.25" thickBot="1" x14ac:dyDescent="0.3">
      <c r="H56" s="99">
        <v>15</v>
      </c>
      <c r="I56" s="100" t="s">
        <v>316</v>
      </c>
      <c r="J56" s="100">
        <v>1</v>
      </c>
      <c r="K56" s="100">
        <v>10</v>
      </c>
      <c r="L56" s="101">
        <f t="shared" si="1"/>
        <v>10</v>
      </c>
      <c r="O56" s="109" t="s">
        <v>132</v>
      </c>
      <c r="P56" s="108">
        <v>1</v>
      </c>
      <c r="Q56" s="108">
        <v>85</v>
      </c>
      <c r="R56" s="106">
        <f t="shared" si="0"/>
        <v>85</v>
      </c>
      <c r="U56" s="104" t="s">
        <v>389</v>
      </c>
      <c r="V56" s="105">
        <v>27</v>
      </c>
      <c r="W56" s="105">
        <v>1250</v>
      </c>
      <c r="X56" s="106">
        <f t="shared" si="2"/>
        <v>33750</v>
      </c>
      <c r="AA56" s="155" t="s">
        <v>389</v>
      </c>
      <c r="AB56" s="148" t="s">
        <v>293</v>
      </c>
      <c r="AC56" s="148">
        <v>1</v>
      </c>
      <c r="AD56" s="148">
        <v>1250</v>
      </c>
      <c r="AE56" s="147">
        <f t="shared" si="3"/>
        <v>1250</v>
      </c>
    </row>
    <row r="57" spans="8:31" ht="22.5" customHeight="1" thickBot="1" x14ac:dyDescent="0.3">
      <c r="H57" s="99">
        <v>16</v>
      </c>
      <c r="I57" s="100" t="s">
        <v>317</v>
      </c>
      <c r="J57" s="100">
        <v>1</v>
      </c>
      <c r="K57" s="100">
        <v>85</v>
      </c>
      <c r="L57" s="101">
        <f t="shared" si="1"/>
        <v>85</v>
      </c>
      <c r="O57" s="107" t="s">
        <v>284</v>
      </c>
      <c r="P57" s="108">
        <v>1</v>
      </c>
      <c r="Q57" s="110">
        <v>1250</v>
      </c>
      <c r="R57" s="106">
        <f t="shared" si="0"/>
        <v>1250</v>
      </c>
      <c r="U57" s="104" t="s">
        <v>316</v>
      </c>
      <c r="V57" s="105">
        <v>27</v>
      </c>
      <c r="W57" s="105">
        <v>10</v>
      </c>
      <c r="X57" s="106">
        <f t="shared" si="2"/>
        <v>270</v>
      </c>
      <c r="AA57" s="155" t="s">
        <v>316</v>
      </c>
      <c r="AB57" s="148" t="s">
        <v>293</v>
      </c>
      <c r="AC57" s="148">
        <v>1</v>
      </c>
      <c r="AD57" s="148">
        <v>10</v>
      </c>
      <c r="AE57" s="147">
        <f t="shared" si="3"/>
        <v>10</v>
      </c>
    </row>
    <row r="58" spans="8:31" ht="34.5" thickBot="1" x14ac:dyDescent="0.3">
      <c r="H58" s="99">
        <v>17</v>
      </c>
      <c r="I58" s="100" t="s">
        <v>137</v>
      </c>
      <c r="J58" s="100">
        <v>8</v>
      </c>
      <c r="K58" s="100">
        <v>90</v>
      </c>
      <c r="L58" s="101">
        <f t="shared" si="1"/>
        <v>720</v>
      </c>
      <c r="O58" s="107" t="s">
        <v>285</v>
      </c>
      <c r="P58" s="108">
        <v>1</v>
      </c>
      <c r="Q58" s="110">
        <v>1250</v>
      </c>
      <c r="R58" s="106">
        <f t="shared" si="0"/>
        <v>1250</v>
      </c>
      <c r="U58" s="104" t="s">
        <v>390</v>
      </c>
      <c r="V58" s="105">
        <v>27</v>
      </c>
      <c r="W58" s="105">
        <v>85</v>
      </c>
      <c r="X58" s="106">
        <f t="shared" si="2"/>
        <v>2295</v>
      </c>
      <c r="AA58" s="155" t="s">
        <v>390</v>
      </c>
      <c r="AB58" s="148" t="s">
        <v>293</v>
      </c>
      <c r="AC58" s="148">
        <v>1</v>
      </c>
      <c r="AD58" s="148">
        <v>85</v>
      </c>
      <c r="AE58" s="147">
        <f t="shared" si="3"/>
        <v>85</v>
      </c>
    </row>
    <row r="59" spans="8:31" ht="16.5" thickBot="1" x14ac:dyDescent="0.3">
      <c r="H59" s="99">
        <v>18</v>
      </c>
      <c r="I59" s="100" t="s">
        <v>318</v>
      </c>
      <c r="J59" s="100">
        <v>8</v>
      </c>
      <c r="K59" s="100">
        <v>7.5</v>
      </c>
      <c r="L59" s="101">
        <f t="shared" si="1"/>
        <v>60</v>
      </c>
      <c r="O59" s="107" t="s">
        <v>135</v>
      </c>
      <c r="P59" s="108">
        <v>1</v>
      </c>
      <c r="Q59" s="111">
        <v>10</v>
      </c>
      <c r="R59" s="106">
        <f t="shared" si="0"/>
        <v>10</v>
      </c>
      <c r="U59" s="104" t="s">
        <v>391</v>
      </c>
      <c r="V59" s="105">
        <v>216</v>
      </c>
      <c r="W59" s="105">
        <v>90</v>
      </c>
      <c r="X59" s="106">
        <f t="shared" si="2"/>
        <v>19440</v>
      </c>
      <c r="AA59" s="155" t="s">
        <v>391</v>
      </c>
      <c r="AB59" s="148" t="s">
        <v>293</v>
      </c>
      <c r="AC59" s="148">
        <v>8</v>
      </c>
      <c r="AD59" s="148">
        <v>90</v>
      </c>
      <c r="AE59" s="147">
        <f t="shared" si="3"/>
        <v>720</v>
      </c>
    </row>
    <row r="60" spans="8:31" ht="23.25" thickBot="1" x14ac:dyDescent="0.3">
      <c r="H60" s="99">
        <v>19</v>
      </c>
      <c r="I60" s="100" t="s">
        <v>319</v>
      </c>
      <c r="J60" s="100">
        <v>18</v>
      </c>
      <c r="K60" s="100">
        <v>85</v>
      </c>
      <c r="L60" s="101">
        <f t="shared" si="1"/>
        <v>1530</v>
      </c>
      <c r="O60" s="107" t="s">
        <v>286</v>
      </c>
      <c r="P60" s="108">
        <v>1</v>
      </c>
      <c r="Q60" s="108">
        <v>85</v>
      </c>
      <c r="R60" s="106">
        <f t="shared" si="0"/>
        <v>85</v>
      </c>
      <c r="U60" s="104" t="s">
        <v>392</v>
      </c>
      <c r="V60" s="105">
        <v>486</v>
      </c>
      <c r="W60" s="105">
        <v>85</v>
      </c>
      <c r="X60" s="106">
        <f t="shared" si="2"/>
        <v>41310</v>
      </c>
      <c r="AA60" s="155" t="s">
        <v>392</v>
      </c>
      <c r="AB60" s="148" t="s">
        <v>293</v>
      </c>
      <c r="AC60" s="148">
        <v>18</v>
      </c>
      <c r="AD60" s="148">
        <v>85</v>
      </c>
      <c r="AE60" s="147">
        <f t="shared" si="3"/>
        <v>1530</v>
      </c>
    </row>
    <row r="61" spans="8:31" ht="16.5" thickBot="1" x14ac:dyDescent="0.3">
      <c r="H61" s="99">
        <v>20</v>
      </c>
      <c r="I61" s="100" t="s">
        <v>320</v>
      </c>
      <c r="J61" s="100">
        <v>8</v>
      </c>
      <c r="K61" s="100">
        <v>598</v>
      </c>
      <c r="L61" s="101">
        <f t="shared" si="1"/>
        <v>4784</v>
      </c>
      <c r="O61" s="107" t="s">
        <v>137</v>
      </c>
      <c r="P61" s="108">
        <v>8</v>
      </c>
      <c r="Q61" s="108">
        <v>90</v>
      </c>
      <c r="R61" s="106">
        <f t="shared" si="0"/>
        <v>720</v>
      </c>
      <c r="U61" s="104" t="s">
        <v>393</v>
      </c>
      <c r="V61" s="105">
        <v>270</v>
      </c>
      <c r="W61" s="105">
        <v>85</v>
      </c>
      <c r="X61" s="106">
        <f t="shared" si="2"/>
        <v>22950</v>
      </c>
      <c r="AA61" s="155" t="s">
        <v>393</v>
      </c>
      <c r="AB61" s="148" t="s">
        <v>293</v>
      </c>
      <c r="AC61" s="148">
        <v>10</v>
      </c>
      <c r="AD61" s="148">
        <v>85</v>
      </c>
      <c r="AE61" s="147">
        <f t="shared" si="3"/>
        <v>850</v>
      </c>
    </row>
    <row r="62" spans="8:31" ht="16.5" thickBot="1" x14ac:dyDescent="0.3">
      <c r="H62" s="99">
        <v>21</v>
      </c>
      <c r="I62" s="100" t="s">
        <v>321</v>
      </c>
      <c r="J62" s="100">
        <v>10</v>
      </c>
      <c r="K62" s="100">
        <v>85</v>
      </c>
      <c r="L62" s="101">
        <f t="shared" si="1"/>
        <v>850</v>
      </c>
      <c r="O62" s="107" t="s">
        <v>287</v>
      </c>
      <c r="P62" s="108">
        <v>2</v>
      </c>
      <c r="Q62" s="111">
        <v>7.5</v>
      </c>
      <c r="R62" s="106">
        <f t="shared" si="0"/>
        <v>15</v>
      </c>
      <c r="U62" s="104" t="s">
        <v>394</v>
      </c>
      <c r="V62" s="105">
        <v>486</v>
      </c>
      <c r="W62" s="105">
        <v>85</v>
      </c>
      <c r="X62" s="106">
        <f t="shared" si="2"/>
        <v>41310</v>
      </c>
      <c r="AA62" s="155" t="s">
        <v>394</v>
      </c>
      <c r="AB62" s="148" t="s">
        <v>293</v>
      </c>
      <c r="AC62" s="148">
        <v>18</v>
      </c>
      <c r="AD62" s="148">
        <v>85</v>
      </c>
      <c r="AE62" s="147">
        <f t="shared" si="3"/>
        <v>1530</v>
      </c>
    </row>
    <row r="63" spans="8:31" ht="16.5" thickBot="1" x14ac:dyDescent="0.3">
      <c r="H63" s="99">
        <v>22</v>
      </c>
      <c r="I63" s="100" t="s">
        <v>322</v>
      </c>
      <c r="J63" s="100">
        <v>18</v>
      </c>
      <c r="K63" s="100">
        <v>85</v>
      </c>
      <c r="L63" s="101">
        <f t="shared" si="1"/>
        <v>1530</v>
      </c>
      <c r="O63" s="107" t="s">
        <v>139</v>
      </c>
      <c r="P63" s="108">
        <v>18</v>
      </c>
      <c r="Q63" s="108">
        <v>85</v>
      </c>
      <c r="R63" s="106">
        <f t="shared" si="0"/>
        <v>1530</v>
      </c>
      <c r="U63" s="104" t="s">
        <v>395</v>
      </c>
      <c r="V63" s="105">
        <v>27</v>
      </c>
      <c r="W63" s="105">
        <v>85</v>
      </c>
      <c r="X63" s="106">
        <f t="shared" si="2"/>
        <v>2295</v>
      </c>
      <c r="Y63" s="86" t="s">
        <v>512</v>
      </c>
      <c r="AA63" s="155" t="s">
        <v>395</v>
      </c>
      <c r="AB63" s="148" t="s">
        <v>293</v>
      </c>
      <c r="AC63" s="148">
        <v>1</v>
      </c>
      <c r="AD63" s="148">
        <v>85</v>
      </c>
      <c r="AE63" s="147">
        <f t="shared" si="3"/>
        <v>85</v>
      </c>
    </row>
    <row r="64" spans="8:31" ht="23.25" thickBot="1" x14ac:dyDescent="0.3">
      <c r="H64" s="99">
        <v>23</v>
      </c>
      <c r="I64" s="100" t="s">
        <v>323</v>
      </c>
      <c r="J64" s="100">
        <v>1</v>
      </c>
      <c r="K64" s="100">
        <v>85</v>
      </c>
      <c r="L64" s="101">
        <f t="shared" si="1"/>
        <v>85</v>
      </c>
      <c r="O64" s="107" t="s">
        <v>288</v>
      </c>
      <c r="P64" s="108">
        <v>8</v>
      </c>
      <c r="Q64" s="108">
        <v>598</v>
      </c>
      <c r="R64" s="106">
        <f t="shared" si="0"/>
        <v>4784</v>
      </c>
      <c r="U64" s="104" t="s">
        <v>396</v>
      </c>
      <c r="V64" s="105">
        <v>27</v>
      </c>
      <c r="W64" s="105">
        <v>550</v>
      </c>
      <c r="X64" s="106">
        <f t="shared" si="2"/>
        <v>14850</v>
      </c>
      <c r="AA64" s="155" t="s">
        <v>396</v>
      </c>
      <c r="AB64" s="148" t="s">
        <v>293</v>
      </c>
      <c r="AC64" s="148">
        <v>1</v>
      </c>
      <c r="AD64" s="148">
        <v>550</v>
      </c>
      <c r="AE64" s="147">
        <f t="shared" si="3"/>
        <v>550</v>
      </c>
    </row>
    <row r="65" spans="8:38" ht="23.25" thickBot="1" x14ac:dyDescent="0.3">
      <c r="H65" s="99">
        <v>24</v>
      </c>
      <c r="I65" s="100" t="s">
        <v>324</v>
      </c>
      <c r="J65" s="100">
        <v>1</v>
      </c>
      <c r="K65" s="100">
        <v>1250</v>
      </c>
      <c r="L65" s="101">
        <f t="shared" si="1"/>
        <v>1250</v>
      </c>
      <c r="O65" s="107" t="s">
        <v>141</v>
      </c>
      <c r="P65" s="108">
        <v>10</v>
      </c>
      <c r="Q65" s="108">
        <v>85</v>
      </c>
      <c r="R65" s="106">
        <f t="shared" si="0"/>
        <v>850</v>
      </c>
      <c r="U65" s="104" t="s">
        <v>397</v>
      </c>
      <c r="V65" s="105">
        <v>135</v>
      </c>
      <c r="W65" s="105">
        <v>50</v>
      </c>
      <c r="X65" s="106">
        <f t="shared" si="2"/>
        <v>6750</v>
      </c>
      <c r="AA65" s="155" t="s">
        <v>397</v>
      </c>
      <c r="AB65" s="148" t="s">
        <v>293</v>
      </c>
      <c r="AC65" s="148">
        <v>5</v>
      </c>
      <c r="AD65" s="148">
        <v>50</v>
      </c>
      <c r="AE65" s="147">
        <f t="shared" si="3"/>
        <v>250</v>
      </c>
    </row>
    <row r="66" spans="8:38" ht="16.5" thickBot="1" x14ac:dyDescent="0.3">
      <c r="H66" s="99">
        <v>25</v>
      </c>
      <c r="I66" s="100" t="s">
        <v>325</v>
      </c>
      <c r="J66" s="100">
        <v>1</v>
      </c>
      <c r="K66" s="100">
        <v>1250</v>
      </c>
      <c r="L66" s="101">
        <f t="shared" si="1"/>
        <v>1250</v>
      </c>
      <c r="O66" s="107" t="s">
        <v>142</v>
      </c>
      <c r="P66" s="108">
        <v>18</v>
      </c>
      <c r="Q66" s="108">
        <v>85</v>
      </c>
      <c r="R66" s="106">
        <f t="shared" si="0"/>
        <v>1530</v>
      </c>
      <c r="U66" s="104" t="s">
        <v>111</v>
      </c>
      <c r="V66" s="105">
        <v>27</v>
      </c>
      <c r="W66" s="105">
        <v>38</v>
      </c>
      <c r="X66" s="106">
        <f t="shared" si="2"/>
        <v>1026</v>
      </c>
      <c r="AA66" s="155" t="s">
        <v>111</v>
      </c>
      <c r="AB66" s="148" t="s">
        <v>293</v>
      </c>
      <c r="AC66" s="148">
        <v>1</v>
      </c>
      <c r="AD66" s="148">
        <v>38</v>
      </c>
      <c r="AE66" s="147">
        <f t="shared" si="3"/>
        <v>38</v>
      </c>
    </row>
    <row r="67" spans="8:38" ht="23.25" thickBot="1" x14ac:dyDescent="0.3">
      <c r="H67" s="99">
        <v>26</v>
      </c>
      <c r="I67" s="100" t="s">
        <v>326</v>
      </c>
      <c r="J67" s="100">
        <v>5</v>
      </c>
      <c r="K67" s="100">
        <v>47</v>
      </c>
      <c r="L67" s="101">
        <f t="shared" si="1"/>
        <v>235</v>
      </c>
      <c r="O67" s="107" t="s">
        <v>143</v>
      </c>
      <c r="P67" s="108">
        <v>1</v>
      </c>
      <c r="Q67" s="108">
        <v>85</v>
      </c>
      <c r="R67" s="106">
        <f t="shared" si="0"/>
        <v>85</v>
      </c>
      <c r="U67" s="104" t="s">
        <v>398</v>
      </c>
      <c r="V67" s="105">
        <v>216</v>
      </c>
      <c r="W67" s="105">
        <v>9</v>
      </c>
      <c r="X67" s="106">
        <f t="shared" si="2"/>
        <v>1944</v>
      </c>
      <c r="AA67" s="155" t="s">
        <v>398</v>
      </c>
      <c r="AB67" s="148" t="s">
        <v>293</v>
      </c>
      <c r="AC67" s="148">
        <v>8</v>
      </c>
      <c r="AD67" s="148">
        <v>9</v>
      </c>
      <c r="AE67" s="147">
        <f t="shared" si="3"/>
        <v>72</v>
      </c>
    </row>
    <row r="68" spans="8:38" ht="16.5" thickBot="1" x14ac:dyDescent="0.3">
      <c r="H68" s="99">
        <v>27</v>
      </c>
      <c r="I68" s="100" t="s">
        <v>327</v>
      </c>
      <c r="J68" s="100">
        <v>1</v>
      </c>
      <c r="K68" s="100">
        <v>38</v>
      </c>
      <c r="L68" s="101">
        <f t="shared" si="1"/>
        <v>38</v>
      </c>
      <c r="O68" s="107" t="s">
        <v>144</v>
      </c>
      <c r="P68" s="108">
        <v>5</v>
      </c>
      <c r="Q68" s="111">
        <v>50</v>
      </c>
      <c r="R68" s="106">
        <f t="shared" si="0"/>
        <v>250</v>
      </c>
      <c r="U68" s="104" t="s">
        <v>399</v>
      </c>
      <c r="V68" s="105">
        <v>54</v>
      </c>
      <c r="W68" s="105">
        <v>378</v>
      </c>
      <c r="X68" s="106">
        <f t="shared" si="2"/>
        <v>20412</v>
      </c>
      <c r="AA68" s="155" t="s">
        <v>399</v>
      </c>
      <c r="AB68" s="148" t="s">
        <v>293</v>
      </c>
      <c r="AC68" s="148">
        <v>2</v>
      </c>
      <c r="AD68" s="148">
        <v>378</v>
      </c>
      <c r="AE68" s="147">
        <f t="shared" si="3"/>
        <v>756</v>
      </c>
    </row>
    <row r="69" spans="8:38" ht="16.5" thickBot="1" x14ac:dyDescent="0.3">
      <c r="H69" s="99">
        <v>28</v>
      </c>
      <c r="I69" s="100" t="s">
        <v>328</v>
      </c>
      <c r="J69" s="100">
        <v>8</v>
      </c>
      <c r="K69" s="100">
        <v>9</v>
      </c>
      <c r="L69" s="101">
        <f t="shared" si="1"/>
        <v>72</v>
      </c>
      <c r="O69" s="107" t="s">
        <v>111</v>
      </c>
      <c r="P69" s="108">
        <v>1</v>
      </c>
      <c r="Q69" s="108">
        <v>38</v>
      </c>
      <c r="R69" s="106">
        <f t="shared" si="0"/>
        <v>38</v>
      </c>
      <c r="U69" s="104" t="s">
        <v>400</v>
      </c>
      <c r="V69" s="105">
        <v>135</v>
      </c>
      <c r="W69" s="105">
        <v>94</v>
      </c>
      <c r="X69" s="106">
        <f t="shared" si="2"/>
        <v>12690</v>
      </c>
      <c r="AA69" s="155" t="s">
        <v>400</v>
      </c>
      <c r="AB69" s="148" t="s">
        <v>293</v>
      </c>
      <c r="AC69" s="148">
        <v>5</v>
      </c>
      <c r="AD69" s="148">
        <v>94</v>
      </c>
      <c r="AE69" s="147">
        <f t="shared" si="3"/>
        <v>470</v>
      </c>
    </row>
    <row r="70" spans="8:38" ht="16.5" thickBot="1" x14ac:dyDescent="0.3">
      <c r="H70" s="99">
        <v>29</v>
      </c>
      <c r="I70" s="100" t="s">
        <v>329</v>
      </c>
      <c r="J70" s="100">
        <v>2</v>
      </c>
      <c r="K70" s="100">
        <v>378</v>
      </c>
      <c r="L70" s="101">
        <f t="shared" si="1"/>
        <v>756</v>
      </c>
      <c r="O70" s="107" t="s">
        <v>289</v>
      </c>
      <c r="P70" s="108">
        <v>8</v>
      </c>
      <c r="Q70" s="108">
        <v>9</v>
      </c>
      <c r="R70" s="106">
        <f t="shared" si="0"/>
        <v>72</v>
      </c>
      <c r="U70" s="104" t="s">
        <v>401</v>
      </c>
      <c r="V70" s="105">
        <v>27</v>
      </c>
      <c r="W70" s="105">
        <v>200</v>
      </c>
      <c r="X70" s="106">
        <f t="shared" si="2"/>
        <v>5400</v>
      </c>
      <c r="AA70" s="155" t="s">
        <v>401</v>
      </c>
      <c r="AB70" s="148" t="s">
        <v>293</v>
      </c>
      <c r="AC70" s="148">
        <v>1</v>
      </c>
      <c r="AD70" s="148">
        <v>200</v>
      </c>
      <c r="AE70" s="147">
        <f t="shared" si="3"/>
        <v>200</v>
      </c>
    </row>
    <row r="71" spans="8:38" ht="16.5" thickBot="1" x14ac:dyDescent="0.3">
      <c r="H71" s="99">
        <v>30</v>
      </c>
      <c r="I71" s="100" t="s">
        <v>330</v>
      </c>
      <c r="J71" s="100">
        <v>5</v>
      </c>
      <c r="K71" s="100">
        <v>94</v>
      </c>
      <c r="L71" s="101">
        <f t="shared" si="1"/>
        <v>470</v>
      </c>
      <c r="O71" s="107" t="s">
        <v>290</v>
      </c>
      <c r="P71" s="108">
        <v>2</v>
      </c>
      <c r="Q71" s="108">
        <v>378</v>
      </c>
      <c r="R71" s="106">
        <f t="shared" si="0"/>
        <v>756</v>
      </c>
      <c r="U71" s="104" t="s">
        <v>402</v>
      </c>
      <c r="V71" s="105">
        <v>27</v>
      </c>
      <c r="W71" s="105">
        <v>50</v>
      </c>
      <c r="X71" s="106">
        <f t="shared" si="2"/>
        <v>1350</v>
      </c>
      <c r="AA71" s="155" t="s">
        <v>402</v>
      </c>
      <c r="AB71" s="148" t="s">
        <v>293</v>
      </c>
      <c r="AC71" s="148">
        <v>1</v>
      </c>
      <c r="AD71" s="148">
        <v>50</v>
      </c>
      <c r="AE71" s="147">
        <f t="shared" si="3"/>
        <v>50</v>
      </c>
    </row>
    <row r="72" spans="8:38" ht="16.5" thickBot="1" x14ac:dyDescent="0.3">
      <c r="H72" s="99">
        <v>31</v>
      </c>
      <c r="I72" s="100" t="s">
        <v>331</v>
      </c>
      <c r="J72" s="100">
        <v>1</v>
      </c>
      <c r="K72" s="100">
        <v>200</v>
      </c>
      <c r="L72" s="101">
        <f t="shared" si="1"/>
        <v>200</v>
      </c>
      <c r="O72" s="107" t="s">
        <v>291</v>
      </c>
      <c r="P72" s="108">
        <v>5</v>
      </c>
      <c r="Q72" s="108">
        <v>94</v>
      </c>
      <c r="R72" s="106">
        <f t="shared" si="0"/>
        <v>470</v>
      </c>
      <c r="U72" s="104" t="s">
        <v>403</v>
      </c>
      <c r="V72" s="105">
        <v>216</v>
      </c>
      <c r="W72" s="105">
        <v>12</v>
      </c>
      <c r="X72" s="106">
        <f t="shared" si="2"/>
        <v>2592</v>
      </c>
      <c r="AA72" s="155" t="s">
        <v>403</v>
      </c>
      <c r="AB72" s="148" t="s">
        <v>293</v>
      </c>
      <c r="AC72" s="148">
        <v>8</v>
      </c>
      <c r="AD72" s="148">
        <v>12</v>
      </c>
      <c r="AE72" s="147">
        <f t="shared" si="3"/>
        <v>96</v>
      </c>
    </row>
    <row r="73" spans="8:38" ht="16.5" thickBot="1" x14ac:dyDescent="0.3">
      <c r="H73" s="99">
        <v>32</v>
      </c>
      <c r="I73" s="100" t="s">
        <v>332</v>
      </c>
      <c r="J73" s="100">
        <v>8</v>
      </c>
      <c r="K73" s="100">
        <v>7.5</v>
      </c>
      <c r="L73" s="101">
        <f t="shared" si="1"/>
        <v>60</v>
      </c>
      <c r="O73" s="112" t="s">
        <v>113</v>
      </c>
      <c r="P73" s="113">
        <v>1</v>
      </c>
      <c r="Q73" s="113">
        <v>200</v>
      </c>
      <c r="R73" s="114">
        <f t="shared" si="0"/>
        <v>200</v>
      </c>
      <c r="U73" s="104" t="s">
        <v>404</v>
      </c>
      <c r="V73" s="105">
        <v>216</v>
      </c>
      <c r="W73" s="105">
        <v>16</v>
      </c>
      <c r="X73" s="106">
        <f t="shared" si="2"/>
        <v>3456</v>
      </c>
      <c r="AA73" s="155" t="s">
        <v>404</v>
      </c>
      <c r="AB73" s="148" t="s">
        <v>293</v>
      </c>
      <c r="AC73" s="148">
        <v>8</v>
      </c>
      <c r="AD73" s="148">
        <v>16</v>
      </c>
      <c r="AE73" s="147">
        <f t="shared" si="3"/>
        <v>128</v>
      </c>
    </row>
    <row r="74" spans="8:38" ht="27" thickBot="1" x14ac:dyDescent="0.3">
      <c r="H74" s="115"/>
      <c r="I74" s="116"/>
      <c r="J74" s="116"/>
      <c r="K74" s="116"/>
      <c r="L74" s="117">
        <f>SUM(L42:L73)</f>
        <v>22336</v>
      </c>
      <c r="R74" s="87">
        <f>SUM(R42:R73)</f>
        <v>34486</v>
      </c>
      <c r="U74" s="118"/>
      <c r="V74" s="119"/>
      <c r="W74" s="119"/>
      <c r="X74" s="114">
        <f>SUM(X42:X73)</f>
        <v>478467</v>
      </c>
      <c r="AE74" s="156">
        <f>SUM(AE42:AE73)</f>
        <v>17721</v>
      </c>
    </row>
    <row r="75" spans="8:38" ht="12" thickBot="1" x14ac:dyDescent="0.3"/>
    <row r="76" spans="8:38" ht="16.5" customHeight="1" x14ac:dyDescent="0.25">
      <c r="I76" s="88" t="s">
        <v>0</v>
      </c>
      <c r="J76" s="89" t="s">
        <v>339</v>
      </c>
      <c r="K76" s="89" t="s">
        <v>1</v>
      </c>
      <c r="L76" s="89" t="s">
        <v>2</v>
      </c>
      <c r="M76" s="90" t="s">
        <v>297</v>
      </c>
      <c r="O76" s="95" t="s">
        <v>0</v>
      </c>
      <c r="P76" s="96" t="s">
        <v>378</v>
      </c>
      <c r="Q76" s="97" t="s">
        <v>294</v>
      </c>
      <c r="R76" s="98" t="s">
        <v>297</v>
      </c>
      <c r="U76" s="38" t="s">
        <v>0</v>
      </c>
      <c r="V76" s="40" t="s">
        <v>1</v>
      </c>
      <c r="W76" s="40" t="s">
        <v>2</v>
      </c>
      <c r="AA76" s="38" t="s">
        <v>0</v>
      </c>
      <c r="AB76" s="40" t="s">
        <v>1</v>
      </c>
      <c r="AC76" s="40" t="s">
        <v>2</v>
      </c>
    </row>
    <row r="77" spans="8:38" ht="30" x14ac:dyDescent="0.25">
      <c r="I77" s="99" t="s">
        <v>118</v>
      </c>
      <c r="J77" s="100" t="s">
        <v>293</v>
      </c>
      <c r="K77" s="100">
        <v>1</v>
      </c>
      <c r="L77" s="100">
        <v>890</v>
      </c>
      <c r="M77" s="101">
        <v>890</v>
      </c>
      <c r="O77" s="84" t="s">
        <v>379</v>
      </c>
      <c r="P77" s="85">
        <v>81</v>
      </c>
      <c r="Q77" s="85">
        <v>85</v>
      </c>
      <c r="R77" s="106">
        <f>P77*Q77</f>
        <v>6885</v>
      </c>
      <c r="U77" s="37" t="s">
        <v>379</v>
      </c>
      <c r="V77" s="39">
        <v>81</v>
      </c>
      <c r="W77" s="39">
        <v>88</v>
      </c>
      <c r="X77" s="83">
        <f>V77*W77</f>
        <v>7128</v>
      </c>
      <c r="AA77" s="37" t="s">
        <v>379</v>
      </c>
      <c r="AB77" s="39">
        <v>81</v>
      </c>
      <c r="AC77" s="39">
        <v>90</v>
      </c>
      <c r="AD77" s="83">
        <f>AB77*AC77</f>
        <v>7290</v>
      </c>
      <c r="AI77" s="38" t="s">
        <v>0</v>
      </c>
      <c r="AJ77" s="40" t="s">
        <v>1</v>
      </c>
      <c r="AK77" s="40" t="s">
        <v>460</v>
      </c>
      <c r="AL77" s="40" t="s">
        <v>461</v>
      </c>
    </row>
    <row r="78" spans="8:38" ht="15" x14ac:dyDescent="0.25">
      <c r="I78" s="99" t="s">
        <v>304</v>
      </c>
      <c r="J78" s="100" t="s">
        <v>293</v>
      </c>
      <c r="K78" s="100">
        <v>3</v>
      </c>
      <c r="L78" s="100">
        <v>138</v>
      </c>
      <c r="M78" s="101">
        <v>414</v>
      </c>
      <c r="O78" s="84" t="s">
        <v>380</v>
      </c>
      <c r="P78" s="85">
        <v>27</v>
      </c>
      <c r="Q78" s="85">
        <v>225</v>
      </c>
      <c r="R78" s="106">
        <f t="shared" ref="R78:R108" si="4">P78*Q78</f>
        <v>6075</v>
      </c>
      <c r="U78" s="37" t="s">
        <v>380</v>
      </c>
      <c r="V78" s="39">
        <v>27</v>
      </c>
      <c r="W78" s="39">
        <v>232</v>
      </c>
      <c r="X78" s="83">
        <f t="shared" ref="X78:X107" si="5">V78*W78</f>
        <v>6264</v>
      </c>
      <c r="AA78" s="37" t="s">
        <v>380</v>
      </c>
      <c r="AB78" s="39">
        <v>27</v>
      </c>
      <c r="AC78" s="39">
        <v>239</v>
      </c>
      <c r="AD78" s="83">
        <f t="shared" ref="AD78:AD108" si="6">AB78*AC78</f>
        <v>6453</v>
      </c>
      <c r="AI78" s="37" t="s">
        <v>474</v>
      </c>
      <c r="AJ78" s="39">
        <v>1</v>
      </c>
      <c r="AK78" s="39">
        <v>12</v>
      </c>
      <c r="AL78" s="39">
        <v>12</v>
      </c>
    </row>
    <row r="79" spans="8:38" ht="30" x14ac:dyDescent="0.25">
      <c r="I79" s="99" t="s">
        <v>305</v>
      </c>
      <c r="J79" s="100" t="s">
        <v>293</v>
      </c>
      <c r="K79" s="100">
        <v>1</v>
      </c>
      <c r="L79" s="100">
        <v>364</v>
      </c>
      <c r="M79" s="101">
        <v>364</v>
      </c>
      <c r="O79" s="84" t="s">
        <v>381</v>
      </c>
      <c r="P79" s="85">
        <v>216</v>
      </c>
      <c r="Q79" s="85">
        <v>185</v>
      </c>
      <c r="R79" s="106">
        <f t="shared" si="4"/>
        <v>39960</v>
      </c>
      <c r="U79" s="37" t="s">
        <v>381</v>
      </c>
      <c r="V79" s="39">
        <v>216</v>
      </c>
      <c r="W79" s="39">
        <v>191</v>
      </c>
      <c r="X79" s="83">
        <f t="shared" si="5"/>
        <v>41256</v>
      </c>
      <c r="AA79" s="37" t="s">
        <v>381</v>
      </c>
      <c r="AB79" s="39">
        <v>216</v>
      </c>
      <c r="AC79" s="39">
        <v>196</v>
      </c>
      <c r="AD79" s="83">
        <f t="shared" si="6"/>
        <v>42336</v>
      </c>
      <c r="AI79" s="37" t="s">
        <v>475</v>
      </c>
      <c r="AJ79" s="39">
        <v>12</v>
      </c>
      <c r="AK79" s="39">
        <v>4.5</v>
      </c>
      <c r="AL79" s="39">
        <v>54</v>
      </c>
    </row>
    <row r="80" spans="8:38" ht="15" x14ac:dyDescent="0.25">
      <c r="I80" s="99" t="s">
        <v>306</v>
      </c>
      <c r="J80" s="100" t="s">
        <v>293</v>
      </c>
      <c r="K80" s="100">
        <v>8</v>
      </c>
      <c r="L80" s="100">
        <v>239</v>
      </c>
      <c r="M80" s="101">
        <v>1912</v>
      </c>
      <c r="O80" s="84" t="s">
        <v>382</v>
      </c>
      <c r="P80" s="85">
        <v>135</v>
      </c>
      <c r="Q80" s="85">
        <v>85</v>
      </c>
      <c r="R80" s="106">
        <f t="shared" si="4"/>
        <v>11475</v>
      </c>
      <c r="U80" s="37" t="s">
        <v>382</v>
      </c>
      <c r="V80" s="39">
        <v>135</v>
      </c>
      <c r="W80" s="39">
        <v>88</v>
      </c>
      <c r="X80" s="83">
        <f t="shared" si="5"/>
        <v>11880</v>
      </c>
      <c r="AA80" s="37" t="s">
        <v>382</v>
      </c>
      <c r="AB80" s="39">
        <v>135</v>
      </c>
      <c r="AC80" s="39">
        <v>90</v>
      </c>
      <c r="AD80" s="83">
        <f t="shared" si="6"/>
        <v>12150</v>
      </c>
      <c r="AI80" s="144" t="s">
        <v>469</v>
      </c>
      <c r="AJ80" s="39"/>
      <c r="AK80" s="39"/>
      <c r="AL80" s="40">
        <v>66</v>
      </c>
    </row>
    <row r="81" spans="9:38" ht="15" x14ac:dyDescent="0.25">
      <c r="I81" s="99" t="s">
        <v>307</v>
      </c>
      <c r="J81" s="100" t="s">
        <v>293</v>
      </c>
      <c r="K81" s="100">
        <v>5</v>
      </c>
      <c r="L81" s="100">
        <v>138</v>
      </c>
      <c r="M81" s="101">
        <v>690</v>
      </c>
      <c r="O81" s="84" t="s">
        <v>383</v>
      </c>
      <c r="P81" s="85">
        <v>432</v>
      </c>
      <c r="Q81" s="85">
        <v>85</v>
      </c>
      <c r="R81" s="106">
        <f t="shared" si="4"/>
        <v>36720</v>
      </c>
      <c r="U81" s="37" t="s">
        <v>383</v>
      </c>
      <c r="V81" s="39">
        <v>432</v>
      </c>
      <c r="W81" s="39">
        <v>88</v>
      </c>
      <c r="X81" s="83">
        <f t="shared" si="5"/>
        <v>38016</v>
      </c>
      <c r="AA81" s="37" t="s">
        <v>383</v>
      </c>
      <c r="AB81" s="39">
        <v>432</v>
      </c>
      <c r="AC81" s="39">
        <v>90</v>
      </c>
      <c r="AD81" s="83">
        <f t="shared" si="6"/>
        <v>38880</v>
      </c>
    </row>
    <row r="82" spans="9:38" ht="15" x14ac:dyDescent="0.25">
      <c r="I82" s="99" t="s">
        <v>308</v>
      </c>
      <c r="J82" s="100" t="s">
        <v>293</v>
      </c>
      <c r="K82" s="100">
        <v>16</v>
      </c>
      <c r="L82" s="100">
        <v>138</v>
      </c>
      <c r="M82" s="101">
        <v>2208</v>
      </c>
      <c r="O82" s="84" t="s">
        <v>384</v>
      </c>
      <c r="P82" s="85">
        <v>567</v>
      </c>
      <c r="Q82" s="85">
        <v>85</v>
      </c>
      <c r="R82" s="106">
        <f t="shared" si="4"/>
        <v>48195</v>
      </c>
      <c r="U82" s="37" t="s">
        <v>384</v>
      </c>
      <c r="V82" s="39">
        <v>567</v>
      </c>
      <c r="W82" s="39">
        <v>88</v>
      </c>
      <c r="X82" s="83">
        <f t="shared" si="5"/>
        <v>49896</v>
      </c>
      <c r="AA82" s="37" t="s">
        <v>384</v>
      </c>
      <c r="AB82" s="39">
        <v>567</v>
      </c>
      <c r="AC82" s="39">
        <v>90</v>
      </c>
      <c r="AD82" s="83">
        <f t="shared" si="6"/>
        <v>51030</v>
      </c>
    </row>
    <row r="83" spans="9:38" ht="15" x14ac:dyDescent="0.25">
      <c r="I83" s="99" t="s">
        <v>309</v>
      </c>
      <c r="J83" s="100" t="s">
        <v>293</v>
      </c>
      <c r="K83" s="100">
        <v>21</v>
      </c>
      <c r="L83" s="100">
        <v>138</v>
      </c>
      <c r="M83" s="101">
        <v>2898</v>
      </c>
      <c r="O83" s="84" t="s">
        <v>385</v>
      </c>
      <c r="P83" s="85">
        <v>216</v>
      </c>
      <c r="Q83" s="85">
        <v>135</v>
      </c>
      <c r="R83" s="106">
        <f t="shared" si="4"/>
        <v>29160</v>
      </c>
      <c r="U83" s="37" t="s">
        <v>385</v>
      </c>
      <c r="V83" s="39">
        <v>216</v>
      </c>
      <c r="W83" s="39">
        <v>139</v>
      </c>
      <c r="X83" s="83">
        <f t="shared" si="5"/>
        <v>30024</v>
      </c>
      <c r="AA83" s="37" t="s">
        <v>385</v>
      </c>
      <c r="AB83" s="39">
        <v>216</v>
      </c>
      <c r="AC83" s="39">
        <v>143</v>
      </c>
      <c r="AD83" s="83">
        <f t="shared" si="6"/>
        <v>30888</v>
      </c>
    </row>
    <row r="84" spans="9:38" ht="15" x14ac:dyDescent="0.25">
      <c r="I84" s="99" t="s">
        <v>220</v>
      </c>
      <c r="J84" s="100" t="s">
        <v>293</v>
      </c>
      <c r="K84" s="100">
        <v>8</v>
      </c>
      <c r="L84" s="100">
        <v>219</v>
      </c>
      <c r="M84" s="101">
        <v>1752</v>
      </c>
      <c r="O84" s="84" t="s">
        <v>386</v>
      </c>
      <c r="P84" s="85">
        <v>162</v>
      </c>
      <c r="Q84" s="85">
        <v>15.5</v>
      </c>
      <c r="R84" s="106">
        <f t="shared" si="4"/>
        <v>2511</v>
      </c>
      <c r="U84" s="37" t="s">
        <v>386</v>
      </c>
      <c r="V84" s="39">
        <v>162</v>
      </c>
      <c r="W84" s="39">
        <v>16</v>
      </c>
      <c r="X84" s="83">
        <f t="shared" si="5"/>
        <v>2592</v>
      </c>
      <c r="AA84" s="37" t="s">
        <v>386</v>
      </c>
      <c r="AB84" s="39">
        <v>162</v>
      </c>
      <c r="AC84" s="39">
        <v>16</v>
      </c>
      <c r="AD84" s="83">
        <f t="shared" si="6"/>
        <v>2592</v>
      </c>
      <c r="AJ84" s="86">
        <v>45</v>
      </c>
      <c r="AK84" s="86">
        <v>3010</v>
      </c>
      <c r="AL84" s="86">
        <f>AK84*AJ84</f>
        <v>135450</v>
      </c>
    </row>
    <row r="85" spans="9:38" ht="15" x14ac:dyDescent="0.25">
      <c r="I85" s="99" t="s">
        <v>310</v>
      </c>
      <c r="J85" s="100" t="s">
        <v>293</v>
      </c>
      <c r="K85" s="100">
        <v>6</v>
      </c>
      <c r="L85" s="100">
        <v>25</v>
      </c>
      <c r="M85" s="101">
        <v>150</v>
      </c>
      <c r="O85" s="84" t="s">
        <v>387</v>
      </c>
      <c r="P85" s="85">
        <v>162</v>
      </c>
      <c r="Q85" s="85">
        <v>15.5</v>
      </c>
      <c r="R85" s="106">
        <f t="shared" si="4"/>
        <v>2511</v>
      </c>
      <c r="U85" s="37" t="s">
        <v>387</v>
      </c>
      <c r="V85" s="39">
        <v>162</v>
      </c>
      <c r="W85" s="39">
        <v>16</v>
      </c>
      <c r="X85" s="83">
        <f t="shared" si="5"/>
        <v>2592</v>
      </c>
      <c r="AA85" s="37" t="s">
        <v>387</v>
      </c>
      <c r="AB85" s="39">
        <v>162</v>
      </c>
      <c r="AC85" s="39">
        <v>16</v>
      </c>
      <c r="AD85" s="83">
        <f t="shared" si="6"/>
        <v>2592</v>
      </c>
      <c r="AJ85" s="86">
        <v>140</v>
      </c>
      <c r="AK85" s="86">
        <v>921</v>
      </c>
      <c r="AL85" s="86">
        <f t="shared" ref="AL85:AL91" si="7">AK85*AJ85</f>
        <v>128940</v>
      </c>
    </row>
    <row r="86" spans="9:38" ht="15" x14ac:dyDescent="0.25">
      <c r="I86" s="99" t="s">
        <v>311</v>
      </c>
      <c r="J86" s="100" t="s">
        <v>293</v>
      </c>
      <c r="K86" s="100">
        <v>6</v>
      </c>
      <c r="L86" s="100">
        <v>25</v>
      </c>
      <c r="M86" s="101">
        <v>150</v>
      </c>
      <c r="O86" s="84" t="s">
        <v>312</v>
      </c>
      <c r="P86" s="85">
        <v>27</v>
      </c>
      <c r="Q86" s="85">
        <v>200</v>
      </c>
      <c r="R86" s="106">
        <f t="shared" si="4"/>
        <v>5400</v>
      </c>
      <c r="U86" s="37" t="s">
        <v>312</v>
      </c>
      <c r="V86" s="39">
        <v>27</v>
      </c>
      <c r="W86" s="39">
        <v>206</v>
      </c>
      <c r="X86" s="83">
        <f t="shared" si="5"/>
        <v>5562</v>
      </c>
      <c r="AA86" s="37" t="s">
        <v>312</v>
      </c>
      <c r="AB86" s="39">
        <v>27</v>
      </c>
      <c r="AC86" s="39">
        <v>212</v>
      </c>
      <c r="AD86" s="83">
        <f t="shared" si="6"/>
        <v>5724</v>
      </c>
      <c r="AJ86" s="86">
        <v>30</v>
      </c>
      <c r="AK86" s="86">
        <v>880</v>
      </c>
      <c r="AL86" s="86">
        <f t="shared" si="7"/>
        <v>26400</v>
      </c>
    </row>
    <row r="87" spans="9:38" ht="30" x14ac:dyDescent="0.25">
      <c r="I87" s="99" t="s">
        <v>312</v>
      </c>
      <c r="J87" s="100" t="s">
        <v>293</v>
      </c>
      <c r="K87" s="100">
        <v>1</v>
      </c>
      <c r="L87" s="100">
        <v>323</v>
      </c>
      <c r="M87" s="101">
        <v>323</v>
      </c>
      <c r="O87" s="84" t="s">
        <v>405</v>
      </c>
      <c r="P87" s="85">
        <v>27</v>
      </c>
      <c r="Q87" s="85">
        <v>360</v>
      </c>
      <c r="R87" s="106">
        <f t="shared" si="4"/>
        <v>9720</v>
      </c>
      <c r="U87" s="37" t="s">
        <v>405</v>
      </c>
      <c r="V87" s="39">
        <v>27</v>
      </c>
      <c r="W87" s="39">
        <v>371</v>
      </c>
      <c r="X87" s="83">
        <f t="shared" si="5"/>
        <v>10017</v>
      </c>
      <c r="AA87" s="37" t="s">
        <v>405</v>
      </c>
      <c r="AB87" s="39">
        <v>27</v>
      </c>
      <c r="AC87" s="39">
        <v>382</v>
      </c>
      <c r="AD87" s="83">
        <f t="shared" si="6"/>
        <v>10314</v>
      </c>
      <c r="AJ87" s="86">
        <v>15</v>
      </c>
      <c r="AK87" s="86">
        <v>2230</v>
      </c>
      <c r="AL87" s="86">
        <f t="shared" si="7"/>
        <v>33450</v>
      </c>
    </row>
    <row r="88" spans="9:38" ht="15" x14ac:dyDescent="0.25">
      <c r="I88" s="99" t="s">
        <v>313</v>
      </c>
      <c r="J88" s="100" t="s">
        <v>293</v>
      </c>
      <c r="K88" s="100">
        <v>1</v>
      </c>
      <c r="L88" s="100">
        <v>582</v>
      </c>
      <c r="M88" s="101">
        <v>582</v>
      </c>
      <c r="O88" s="84" t="s">
        <v>406</v>
      </c>
      <c r="P88" s="85">
        <v>27</v>
      </c>
      <c r="Q88" s="85">
        <v>360</v>
      </c>
      <c r="R88" s="106">
        <f t="shared" si="4"/>
        <v>9720</v>
      </c>
      <c r="U88" s="37" t="s">
        <v>406</v>
      </c>
      <c r="V88" s="39">
        <v>27</v>
      </c>
      <c r="W88" s="39">
        <v>371</v>
      </c>
      <c r="X88" s="83">
        <f t="shared" si="5"/>
        <v>10017</v>
      </c>
      <c r="AA88" s="37" t="s">
        <v>406</v>
      </c>
      <c r="AB88" s="39">
        <v>27</v>
      </c>
      <c r="AC88" s="39">
        <v>382</v>
      </c>
      <c r="AD88" s="83">
        <f t="shared" si="6"/>
        <v>10314</v>
      </c>
      <c r="AJ88" s="86">
        <v>50</v>
      </c>
      <c r="AK88" s="86">
        <v>120</v>
      </c>
      <c r="AL88" s="86">
        <f t="shared" si="7"/>
        <v>6000</v>
      </c>
    </row>
    <row r="89" spans="9:38" ht="30" x14ac:dyDescent="0.25">
      <c r="I89" s="99" t="s">
        <v>314</v>
      </c>
      <c r="J89" s="100" t="s">
        <v>293</v>
      </c>
      <c r="K89" s="100">
        <v>1</v>
      </c>
      <c r="L89" s="100">
        <v>582</v>
      </c>
      <c r="M89" s="101">
        <v>582</v>
      </c>
      <c r="O89" s="84" t="s">
        <v>388</v>
      </c>
      <c r="P89" s="85">
        <v>27</v>
      </c>
      <c r="Q89" s="85">
        <v>85</v>
      </c>
      <c r="R89" s="106">
        <f t="shared" si="4"/>
        <v>2295</v>
      </c>
      <c r="U89" s="37" t="s">
        <v>388</v>
      </c>
      <c r="V89" s="39">
        <v>27</v>
      </c>
      <c r="W89" s="39">
        <v>88</v>
      </c>
      <c r="X89" s="83">
        <f t="shared" si="5"/>
        <v>2376</v>
      </c>
      <c r="AA89" s="37" t="s">
        <v>388</v>
      </c>
      <c r="AB89" s="39">
        <v>27</v>
      </c>
      <c r="AC89" s="39">
        <v>90</v>
      </c>
      <c r="AD89" s="83">
        <f t="shared" si="6"/>
        <v>2430</v>
      </c>
      <c r="AJ89" s="86">
        <v>50</v>
      </c>
      <c r="AK89" s="86">
        <v>55</v>
      </c>
      <c r="AL89" s="86">
        <f t="shared" si="7"/>
        <v>2750</v>
      </c>
    </row>
    <row r="90" spans="9:38" ht="30" x14ac:dyDescent="0.25">
      <c r="I90" s="99" t="s">
        <v>315</v>
      </c>
      <c r="J90" s="100" t="s">
        <v>293</v>
      </c>
      <c r="K90" s="100">
        <v>1</v>
      </c>
      <c r="L90" s="100">
        <v>138</v>
      </c>
      <c r="M90" s="101">
        <v>138</v>
      </c>
      <c r="O90" s="84" t="s">
        <v>296</v>
      </c>
      <c r="P90" s="85">
        <v>27</v>
      </c>
      <c r="Q90" s="85">
        <v>1250</v>
      </c>
      <c r="R90" s="106">
        <f t="shared" si="4"/>
        <v>33750</v>
      </c>
      <c r="U90" s="37" t="s">
        <v>296</v>
      </c>
      <c r="V90" s="39">
        <v>27</v>
      </c>
      <c r="W90" s="39">
        <v>1288</v>
      </c>
      <c r="X90" s="83">
        <f t="shared" si="5"/>
        <v>34776</v>
      </c>
      <c r="AA90" s="37" t="s">
        <v>296</v>
      </c>
      <c r="AB90" s="39">
        <v>27</v>
      </c>
      <c r="AC90" s="39">
        <v>1325</v>
      </c>
      <c r="AD90" s="83">
        <f t="shared" si="6"/>
        <v>35775</v>
      </c>
      <c r="AJ90" s="86">
        <v>45</v>
      </c>
      <c r="AK90" s="86">
        <v>325</v>
      </c>
      <c r="AL90" s="86">
        <f t="shared" si="7"/>
        <v>14625</v>
      </c>
    </row>
    <row r="91" spans="9:38" ht="15" x14ac:dyDescent="0.25">
      <c r="I91" s="99" t="s">
        <v>316</v>
      </c>
      <c r="J91" s="100" t="s">
        <v>293</v>
      </c>
      <c r="K91" s="100">
        <v>1</v>
      </c>
      <c r="L91" s="100">
        <v>16</v>
      </c>
      <c r="M91" s="101">
        <v>16</v>
      </c>
      <c r="O91" s="84" t="s">
        <v>389</v>
      </c>
      <c r="P91" s="85">
        <v>27</v>
      </c>
      <c r="Q91" s="85">
        <v>1250</v>
      </c>
      <c r="R91" s="106">
        <f t="shared" si="4"/>
        <v>33750</v>
      </c>
      <c r="U91" s="37" t="s">
        <v>389</v>
      </c>
      <c r="V91" s="39">
        <v>27</v>
      </c>
      <c r="W91" s="39">
        <v>1288</v>
      </c>
      <c r="X91" s="83">
        <f t="shared" si="5"/>
        <v>34776</v>
      </c>
      <c r="AA91" s="37" t="s">
        <v>389</v>
      </c>
      <c r="AB91" s="39">
        <v>27</v>
      </c>
      <c r="AC91" s="39">
        <v>1325</v>
      </c>
      <c r="AD91" s="83">
        <f t="shared" si="6"/>
        <v>35775</v>
      </c>
      <c r="AJ91" s="86">
        <v>40</v>
      </c>
      <c r="AK91" s="86">
        <v>6000</v>
      </c>
      <c r="AL91" s="86">
        <f t="shared" si="7"/>
        <v>240000</v>
      </c>
    </row>
    <row r="92" spans="9:38" ht="15" x14ac:dyDescent="0.25">
      <c r="I92" s="99" t="s">
        <v>317</v>
      </c>
      <c r="J92" s="100" t="s">
        <v>293</v>
      </c>
      <c r="K92" s="100">
        <v>1</v>
      </c>
      <c r="L92" s="100">
        <v>138</v>
      </c>
      <c r="M92" s="101">
        <v>138</v>
      </c>
      <c r="O92" s="84" t="s">
        <v>316</v>
      </c>
      <c r="P92" s="85">
        <v>27</v>
      </c>
      <c r="Q92" s="85">
        <v>10</v>
      </c>
      <c r="R92" s="106">
        <f t="shared" si="4"/>
        <v>270</v>
      </c>
      <c r="U92" s="37" t="s">
        <v>316</v>
      </c>
      <c r="V92" s="39">
        <v>27</v>
      </c>
      <c r="W92" s="39">
        <v>10</v>
      </c>
      <c r="X92" s="83">
        <f t="shared" si="5"/>
        <v>270</v>
      </c>
      <c r="AA92" s="37" t="s">
        <v>316</v>
      </c>
      <c r="AB92" s="39">
        <v>27</v>
      </c>
      <c r="AC92" s="39">
        <v>11</v>
      </c>
      <c r="AD92" s="83">
        <f t="shared" si="6"/>
        <v>297</v>
      </c>
      <c r="AL92" s="86">
        <f>SUM(AL84:AL91)</f>
        <v>587615</v>
      </c>
    </row>
    <row r="93" spans="9:38" ht="15" x14ac:dyDescent="0.25">
      <c r="I93" s="99" t="s">
        <v>137</v>
      </c>
      <c r="J93" s="100" t="s">
        <v>293</v>
      </c>
      <c r="K93" s="100">
        <v>8</v>
      </c>
      <c r="L93" s="100">
        <v>146</v>
      </c>
      <c r="M93" s="101">
        <v>1168</v>
      </c>
      <c r="O93" s="84" t="s">
        <v>390</v>
      </c>
      <c r="P93" s="85">
        <v>27</v>
      </c>
      <c r="Q93" s="85">
        <v>85</v>
      </c>
      <c r="R93" s="106">
        <f t="shared" si="4"/>
        <v>2295</v>
      </c>
      <c r="U93" s="37" t="s">
        <v>390</v>
      </c>
      <c r="V93" s="39">
        <v>27</v>
      </c>
      <c r="W93" s="39">
        <v>88</v>
      </c>
      <c r="X93" s="83">
        <f t="shared" si="5"/>
        <v>2376</v>
      </c>
      <c r="AA93" s="37" t="s">
        <v>390</v>
      </c>
      <c r="AB93" s="39">
        <v>27</v>
      </c>
      <c r="AC93" s="39">
        <v>90</v>
      </c>
      <c r="AD93" s="83">
        <f t="shared" si="6"/>
        <v>2430</v>
      </c>
    </row>
    <row r="94" spans="9:38" ht="15" x14ac:dyDescent="0.25">
      <c r="I94" s="99" t="s">
        <v>318</v>
      </c>
      <c r="J94" s="100" t="s">
        <v>293</v>
      </c>
      <c r="K94" s="100">
        <v>8</v>
      </c>
      <c r="L94" s="100">
        <v>12</v>
      </c>
      <c r="M94" s="101">
        <v>96</v>
      </c>
      <c r="O94" s="84" t="s">
        <v>391</v>
      </c>
      <c r="P94" s="85">
        <v>216</v>
      </c>
      <c r="Q94" s="85">
        <v>90</v>
      </c>
      <c r="R94" s="106">
        <f t="shared" si="4"/>
        <v>19440</v>
      </c>
      <c r="U94" s="37" t="s">
        <v>391</v>
      </c>
      <c r="V94" s="39">
        <v>216</v>
      </c>
      <c r="W94" s="39">
        <v>93</v>
      </c>
      <c r="X94" s="83">
        <f t="shared" si="5"/>
        <v>20088</v>
      </c>
      <c r="AA94" s="37" t="s">
        <v>391</v>
      </c>
      <c r="AB94" s="39">
        <v>216</v>
      </c>
      <c r="AC94" s="39">
        <v>95</v>
      </c>
      <c r="AD94" s="83">
        <f t="shared" si="6"/>
        <v>20520</v>
      </c>
    </row>
    <row r="95" spans="9:38" ht="15" x14ac:dyDescent="0.25">
      <c r="I95" s="99" t="s">
        <v>319</v>
      </c>
      <c r="J95" s="100" t="s">
        <v>293</v>
      </c>
      <c r="K95" s="100">
        <v>18</v>
      </c>
      <c r="L95" s="100">
        <v>138</v>
      </c>
      <c r="M95" s="101">
        <v>2484</v>
      </c>
      <c r="O95" s="84" t="s">
        <v>392</v>
      </c>
      <c r="P95" s="85">
        <v>486</v>
      </c>
      <c r="Q95" s="85">
        <v>85</v>
      </c>
      <c r="R95" s="106">
        <f t="shared" si="4"/>
        <v>41310</v>
      </c>
      <c r="U95" s="37" t="s">
        <v>392</v>
      </c>
      <c r="V95" s="39">
        <v>486</v>
      </c>
      <c r="W95" s="39">
        <v>88</v>
      </c>
      <c r="X95" s="83">
        <f t="shared" si="5"/>
        <v>42768</v>
      </c>
      <c r="AA95" s="37" t="s">
        <v>392</v>
      </c>
      <c r="AB95" s="39">
        <v>486</v>
      </c>
      <c r="AC95" s="39">
        <v>90</v>
      </c>
      <c r="AD95" s="83">
        <f t="shared" si="6"/>
        <v>43740</v>
      </c>
    </row>
    <row r="96" spans="9:38" ht="15.75" customHeight="1" x14ac:dyDescent="0.25">
      <c r="I96" s="99" t="s">
        <v>320</v>
      </c>
      <c r="J96" s="100" t="s">
        <v>293</v>
      </c>
      <c r="K96" s="100">
        <v>8</v>
      </c>
      <c r="L96" s="100">
        <v>968</v>
      </c>
      <c r="M96" s="101">
        <v>7744</v>
      </c>
      <c r="O96" s="84" t="s">
        <v>393</v>
      </c>
      <c r="P96" s="85">
        <v>270</v>
      </c>
      <c r="Q96" s="85">
        <v>85</v>
      </c>
      <c r="R96" s="106">
        <f t="shared" si="4"/>
        <v>22950</v>
      </c>
      <c r="U96" s="37" t="s">
        <v>393</v>
      </c>
      <c r="V96" s="39">
        <v>270</v>
      </c>
      <c r="W96" s="39">
        <v>88</v>
      </c>
      <c r="X96" s="83">
        <f t="shared" si="5"/>
        <v>23760</v>
      </c>
      <c r="AA96" s="37" t="s">
        <v>393</v>
      </c>
      <c r="AB96" s="39">
        <v>270</v>
      </c>
      <c r="AC96" s="39">
        <v>90</v>
      </c>
      <c r="AD96" s="83">
        <f t="shared" si="6"/>
        <v>24300</v>
      </c>
    </row>
    <row r="97" spans="9:30" ht="15" x14ac:dyDescent="0.25">
      <c r="I97" s="99" t="s">
        <v>321</v>
      </c>
      <c r="J97" s="100" t="s">
        <v>293</v>
      </c>
      <c r="K97" s="100">
        <v>10</v>
      </c>
      <c r="L97" s="100">
        <v>138</v>
      </c>
      <c r="M97" s="101">
        <v>1380</v>
      </c>
      <c r="O97" s="84" t="s">
        <v>394</v>
      </c>
      <c r="P97" s="85">
        <v>486</v>
      </c>
      <c r="Q97" s="85">
        <v>85</v>
      </c>
      <c r="R97" s="106">
        <f t="shared" si="4"/>
        <v>41310</v>
      </c>
      <c r="U97" s="37" t="s">
        <v>394</v>
      </c>
      <c r="V97" s="39">
        <v>486</v>
      </c>
      <c r="W97" s="39">
        <v>88</v>
      </c>
      <c r="X97" s="83">
        <f t="shared" si="5"/>
        <v>42768</v>
      </c>
      <c r="AA97" s="37" t="s">
        <v>394</v>
      </c>
      <c r="AB97" s="39">
        <v>486</v>
      </c>
      <c r="AC97" s="39">
        <v>90</v>
      </c>
      <c r="AD97" s="83">
        <f t="shared" si="6"/>
        <v>43740</v>
      </c>
    </row>
    <row r="98" spans="9:30" ht="45" customHeight="1" x14ac:dyDescent="0.25">
      <c r="I98" s="99" t="s">
        <v>322</v>
      </c>
      <c r="J98" s="100" t="s">
        <v>293</v>
      </c>
      <c r="K98" s="100">
        <v>18</v>
      </c>
      <c r="L98" s="100">
        <v>138</v>
      </c>
      <c r="M98" s="101">
        <v>2484</v>
      </c>
      <c r="O98" s="84" t="s">
        <v>395</v>
      </c>
      <c r="P98" s="85">
        <v>27</v>
      </c>
      <c r="Q98" s="85">
        <v>85</v>
      </c>
      <c r="R98" s="106">
        <f t="shared" si="4"/>
        <v>2295</v>
      </c>
      <c r="U98" s="37" t="s">
        <v>395</v>
      </c>
      <c r="V98" s="39">
        <v>27</v>
      </c>
      <c r="W98" s="39">
        <v>88</v>
      </c>
      <c r="X98" s="83">
        <f t="shared" si="5"/>
        <v>2376</v>
      </c>
      <c r="AA98" s="37" t="s">
        <v>395</v>
      </c>
      <c r="AB98" s="39">
        <v>27</v>
      </c>
      <c r="AC98" s="39">
        <v>90</v>
      </c>
      <c r="AD98" s="83">
        <f t="shared" si="6"/>
        <v>2430</v>
      </c>
    </row>
    <row r="99" spans="9:30" ht="15" x14ac:dyDescent="0.25">
      <c r="I99" s="99" t="s">
        <v>323</v>
      </c>
      <c r="J99" s="100" t="s">
        <v>293</v>
      </c>
      <c r="K99" s="100">
        <v>1</v>
      </c>
      <c r="L99" s="100">
        <v>138</v>
      </c>
      <c r="M99" s="101">
        <v>138</v>
      </c>
      <c r="O99" s="84" t="s">
        <v>396</v>
      </c>
      <c r="P99" s="85">
        <v>27</v>
      </c>
      <c r="Q99" s="85">
        <v>550</v>
      </c>
      <c r="R99" s="106">
        <f t="shared" si="4"/>
        <v>14850</v>
      </c>
      <c r="U99" s="37" t="s">
        <v>396</v>
      </c>
      <c r="V99" s="39">
        <v>27</v>
      </c>
      <c r="W99" s="39">
        <v>567</v>
      </c>
      <c r="X99" s="83">
        <f t="shared" si="5"/>
        <v>15309</v>
      </c>
      <c r="AA99" s="37" t="s">
        <v>396</v>
      </c>
      <c r="AB99" s="39">
        <v>27</v>
      </c>
      <c r="AC99" s="39">
        <v>583</v>
      </c>
      <c r="AD99" s="83">
        <f t="shared" si="6"/>
        <v>15741</v>
      </c>
    </row>
    <row r="100" spans="9:30" ht="15" x14ac:dyDescent="0.25">
      <c r="I100" s="99" t="s">
        <v>324</v>
      </c>
      <c r="J100" s="100" t="s">
        <v>293</v>
      </c>
      <c r="K100" s="100">
        <v>1</v>
      </c>
      <c r="L100" s="100">
        <v>2022</v>
      </c>
      <c r="M100" s="101">
        <v>2022</v>
      </c>
      <c r="O100" s="84" t="s">
        <v>397</v>
      </c>
      <c r="P100" s="85">
        <v>135</v>
      </c>
      <c r="Q100" s="85">
        <v>50</v>
      </c>
      <c r="R100" s="106">
        <f t="shared" si="4"/>
        <v>6750</v>
      </c>
      <c r="U100" s="37" t="s">
        <v>397</v>
      </c>
      <c r="V100" s="39">
        <v>135</v>
      </c>
      <c r="W100" s="39">
        <v>52</v>
      </c>
      <c r="X100" s="83">
        <f t="shared" si="5"/>
        <v>7020</v>
      </c>
      <c r="AA100" s="37" t="s">
        <v>397</v>
      </c>
      <c r="AB100" s="39">
        <v>135</v>
      </c>
      <c r="AC100" s="39">
        <v>53</v>
      </c>
      <c r="AD100" s="83">
        <f t="shared" si="6"/>
        <v>7155</v>
      </c>
    </row>
    <row r="101" spans="9:30" ht="15" x14ac:dyDescent="0.25">
      <c r="I101" s="99" t="s">
        <v>325</v>
      </c>
      <c r="J101" s="100" t="s">
        <v>293</v>
      </c>
      <c r="K101" s="100">
        <v>1</v>
      </c>
      <c r="L101" s="100">
        <v>2022</v>
      </c>
      <c r="M101" s="101">
        <v>2022</v>
      </c>
      <c r="O101" s="84" t="s">
        <v>111</v>
      </c>
      <c r="P101" s="85">
        <v>27</v>
      </c>
      <c r="Q101" s="85">
        <v>38</v>
      </c>
      <c r="R101" s="106">
        <f t="shared" si="4"/>
        <v>1026</v>
      </c>
      <c r="U101" s="37" t="s">
        <v>111</v>
      </c>
      <c r="V101" s="39">
        <v>27</v>
      </c>
      <c r="W101" s="39">
        <v>39</v>
      </c>
      <c r="X101" s="83">
        <f t="shared" si="5"/>
        <v>1053</v>
      </c>
      <c r="AA101" s="37" t="s">
        <v>111</v>
      </c>
      <c r="AB101" s="39">
        <v>27</v>
      </c>
      <c r="AC101" s="39">
        <v>40</v>
      </c>
      <c r="AD101" s="83">
        <f t="shared" si="6"/>
        <v>1080</v>
      </c>
    </row>
    <row r="102" spans="9:30" ht="15" x14ac:dyDescent="0.25">
      <c r="I102" s="99" t="s">
        <v>326</v>
      </c>
      <c r="J102" s="100" t="s">
        <v>293</v>
      </c>
      <c r="K102" s="100">
        <v>5</v>
      </c>
      <c r="L102" s="100">
        <v>76</v>
      </c>
      <c r="M102" s="101">
        <v>380</v>
      </c>
      <c r="O102" s="84" t="s">
        <v>398</v>
      </c>
      <c r="P102" s="85">
        <v>216</v>
      </c>
      <c r="Q102" s="85">
        <v>9</v>
      </c>
      <c r="R102" s="106">
        <f t="shared" si="4"/>
        <v>1944</v>
      </c>
      <c r="U102" s="37" t="s">
        <v>398</v>
      </c>
      <c r="V102" s="39">
        <v>216</v>
      </c>
      <c r="W102" s="39">
        <v>9</v>
      </c>
      <c r="X102" s="83">
        <f t="shared" si="5"/>
        <v>1944</v>
      </c>
      <c r="AA102" s="37" t="s">
        <v>398</v>
      </c>
      <c r="AB102" s="39">
        <v>216</v>
      </c>
      <c r="AC102" s="39">
        <v>10</v>
      </c>
      <c r="AD102" s="83">
        <f t="shared" si="6"/>
        <v>2160</v>
      </c>
    </row>
    <row r="103" spans="9:30" ht="15" x14ac:dyDescent="0.25">
      <c r="I103" s="99" t="s">
        <v>327</v>
      </c>
      <c r="J103" s="100" t="s">
        <v>293</v>
      </c>
      <c r="K103" s="100">
        <v>1</v>
      </c>
      <c r="L103" s="100">
        <v>61</v>
      </c>
      <c r="M103" s="101">
        <v>61</v>
      </c>
      <c r="O103" s="84" t="s">
        <v>399</v>
      </c>
      <c r="P103" s="85">
        <v>54</v>
      </c>
      <c r="Q103" s="85">
        <v>378</v>
      </c>
      <c r="R103" s="106">
        <f t="shared" si="4"/>
        <v>20412</v>
      </c>
      <c r="U103" s="37" t="s">
        <v>399</v>
      </c>
      <c r="V103" s="39">
        <v>54</v>
      </c>
      <c r="W103" s="39">
        <v>389</v>
      </c>
      <c r="X103" s="83">
        <f t="shared" si="5"/>
        <v>21006</v>
      </c>
      <c r="AA103" s="37" t="s">
        <v>399</v>
      </c>
      <c r="AB103" s="39">
        <v>54</v>
      </c>
      <c r="AC103" s="39">
        <v>401</v>
      </c>
      <c r="AD103" s="83">
        <f t="shared" si="6"/>
        <v>21654</v>
      </c>
    </row>
    <row r="104" spans="9:30" ht="15" x14ac:dyDescent="0.25">
      <c r="I104" s="99" t="s">
        <v>328</v>
      </c>
      <c r="J104" s="100" t="s">
        <v>293</v>
      </c>
      <c r="K104" s="100">
        <v>8</v>
      </c>
      <c r="L104" s="100">
        <v>15</v>
      </c>
      <c r="M104" s="101">
        <v>120</v>
      </c>
      <c r="O104" s="84" t="s">
        <v>400</v>
      </c>
      <c r="P104" s="85">
        <v>135</v>
      </c>
      <c r="Q104" s="85">
        <v>94</v>
      </c>
      <c r="R104" s="106">
        <f t="shared" si="4"/>
        <v>12690</v>
      </c>
      <c r="U104" s="37" t="s">
        <v>400</v>
      </c>
      <c r="V104" s="39">
        <v>135</v>
      </c>
      <c r="W104" s="39">
        <v>97</v>
      </c>
      <c r="X104" s="83">
        <f t="shared" si="5"/>
        <v>13095</v>
      </c>
      <c r="AA104" s="37" t="s">
        <v>400</v>
      </c>
      <c r="AB104" s="39">
        <v>135</v>
      </c>
      <c r="AC104" s="39">
        <v>100</v>
      </c>
      <c r="AD104" s="83">
        <f t="shared" si="6"/>
        <v>13500</v>
      </c>
    </row>
    <row r="105" spans="9:30" ht="15" x14ac:dyDescent="0.25">
      <c r="I105" s="99" t="s">
        <v>329</v>
      </c>
      <c r="J105" s="100" t="s">
        <v>293</v>
      </c>
      <c r="K105" s="100">
        <v>2</v>
      </c>
      <c r="L105" s="100">
        <v>611</v>
      </c>
      <c r="M105" s="101">
        <v>1222</v>
      </c>
      <c r="O105" s="84" t="s">
        <v>401</v>
      </c>
      <c r="P105" s="85">
        <v>27</v>
      </c>
      <c r="Q105" s="85">
        <v>200</v>
      </c>
      <c r="R105" s="106">
        <f t="shared" si="4"/>
        <v>5400</v>
      </c>
      <c r="U105" s="37" t="s">
        <v>401</v>
      </c>
      <c r="V105" s="39">
        <v>27</v>
      </c>
      <c r="W105" s="39">
        <v>206</v>
      </c>
      <c r="X105" s="83">
        <f t="shared" si="5"/>
        <v>5562</v>
      </c>
      <c r="AA105" s="37" t="s">
        <v>401</v>
      </c>
      <c r="AB105" s="39">
        <v>27</v>
      </c>
      <c r="AC105" s="39">
        <v>212</v>
      </c>
      <c r="AD105" s="83">
        <f t="shared" si="6"/>
        <v>5724</v>
      </c>
    </row>
    <row r="106" spans="9:30" ht="15" x14ac:dyDescent="0.25">
      <c r="I106" s="99" t="s">
        <v>330</v>
      </c>
      <c r="J106" s="100" t="s">
        <v>293</v>
      </c>
      <c r="K106" s="100">
        <v>5</v>
      </c>
      <c r="L106" s="100">
        <v>152</v>
      </c>
      <c r="M106" s="101">
        <v>760</v>
      </c>
      <c r="O106" s="84" t="s">
        <v>402</v>
      </c>
      <c r="P106" s="85">
        <v>27</v>
      </c>
      <c r="Q106" s="85">
        <v>50</v>
      </c>
      <c r="R106" s="106">
        <f t="shared" si="4"/>
        <v>1350</v>
      </c>
      <c r="U106" s="37" t="s">
        <v>402</v>
      </c>
      <c r="V106" s="39">
        <v>27</v>
      </c>
      <c r="W106" s="39">
        <v>52</v>
      </c>
      <c r="X106" s="83">
        <f t="shared" si="5"/>
        <v>1404</v>
      </c>
      <c r="AA106" s="37" t="s">
        <v>402</v>
      </c>
      <c r="AB106" s="39">
        <v>27</v>
      </c>
      <c r="AC106" s="39">
        <v>53</v>
      </c>
      <c r="AD106" s="83">
        <f t="shared" si="6"/>
        <v>1431</v>
      </c>
    </row>
    <row r="107" spans="9:30" ht="15.75" customHeight="1" x14ac:dyDescent="0.25">
      <c r="I107" s="99" t="s">
        <v>331</v>
      </c>
      <c r="J107" s="100" t="s">
        <v>293</v>
      </c>
      <c r="K107" s="100">
        <v>1</v>
      </c>
      <c r="L107" s="100">
        <v>323</v>
      </c>
      <c r="M107" s="101">
        <v>323</v>
      </c>
      <c r="O107" s="84" t="s">
        <v>403</v>
      </c>
      <c r="P107" s="85">
        <v>216</v>
      </c>
      <c r="Q107" s="85">
        <v>12</v>
      </c>
      <c r="R107" s="106">
        <f t="shared" si="4"/>
        <v>2592</v>
      </c>
      <c r="U107" s="37" t="s">
        <v>403</v>
      </c>
      <c r="V107" s="39">
        <v>216</v>
      </c>
      <c r="W107" s="39">
        <v>12</v>
      </c>
      <c r="X107" s="83">
        <f t="shared" si="5"/>
        <v>2592</v>
      </c>
      <c r="AA107" s="37" t="s">
        <v>403</v>
      </c>
      <c r="AB107" s="39">
        <v>216</v>
      </c>
      <c r="AC107" s="39">
        <v>13</v>
      </c>
      <c r="AD107" s="83">
        <f t="shared" si="6"/>
        <v>2808</v>
      </c>
    </row>
    <row r="108" spans="9:30" ht="15" x14ac:dyDescent="0.25">
      <c r="I108" s="99" t="s">
        <v>332</v>
      </c>
      <c r="J108" s="100" t="s">
        <v>293</v>
      </c>
      <c r="K108" s="100">
        <v>8</v>
      </c>
      <c r="L108" s="100">
        <v>12</v>
      </c>
      <c r="M108" s="101">
        <v>96</v>
      </c>
      <c r="O108" s="84" t="s">
        <v>404</v>
      </c>
      <c r="P108" s="85">
        <v>216</v>
      </c>
      <c r="Q108" s="85">
        <v>16</v>
      </c>
      <c r="R108" s="106">
        <f t="shared" si="4"/>
        <v>3456</v>
      </c>
      <c r="U108" s="37" t="s">
        <v>404</v>
      </c>
      <c r="V108" s="39">
        <v>216</v>
      </c>
      <c r="W108" s="39">
        <v>16</v>
      </c>
      <c r="X108" s="83">
        <f>V108*W108</f>
        <v>3456</v>
      </c>
      <c r="AA108" s="37" t="s">
        <v>404</v>
      </c>
      <c r="AB108" s="39">
        <v>216</v>
      </c>
      <c r="AC108" s="39">
        <v>17</v>
      </c>
      <c r="AD108" s="83">
        <f t="shared" si="6"/>
        <v>3672</v>
      </c>
    </row>
    <row r="109" spans="9:30" ht="15.75" thickBot="1" x14ac:dyDescent="0.3">
      <c r="I109" s="115"/>
      <c r="J109" s="116"/>
      <c r="K109" s="116"/>
      <c r="L109" s="116">
        <f>SUM(M77:M108)</f>
        <v>35707</v>
      </c>
      <c r="M109" s="117"/>
      <c r="O109" s="118"/>
      <c r="P109" s="119"/>
      <c r="Q109" s="119"/>
      <c r="R109" s="114">
        <f>SUM(R77:R108)</f>
        <v>478467</v>
      </c>
      <c r="W109" s="120"/>
      <c r="X109" s="83">
        <f>SUM(X77:X108)</f>
        <v>494019</v>
      </c>
      <c r="AD109" s="83">
        <f>SUM(AD77:AD108)</f>
        <v>506925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99EE4C-297A-4EFC-BDC0-5E774B3221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СЧЕТА</vt:lpstr>
      <vt:lpstr>НАЛИЧКА</vt:lpstr>
      <vt:lpstr>Долги</vt:lpstr>
      <vt:lpstr>КредитСальдо</vt:lpstr>
      <vt:lpstr>КП</vt:lpstr>
      <vt:lpstr>Для расчета</vt:lpstr>
      <vt:lpstr>'Для расчета'!__DdeLink__197_1217207183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2026-07-09T12:45:56Z</cp:lastPrinted>
  <dcterms:created xsi:type="dcterms:W3CDTF">2026-05-06T08:12:05Z</dcterms:created>
  <dcterms:modified xsi:type="dcterms:W3CDTF">2026-07-14T08:18:34Z</dcterms:modified>
</cp:coreProperties>
</file>